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7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pdhy\Desktop\ACA Project\ACA_Project_Final\Report\"/>
    </mc:Choice>
  </mc:AlternateContent>
  <xr:revisionPtr revIDLastSave="0" documentId="13_ncr:1_{E01A01BF-C50C-4041-8B95-81E29CB53117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Fat-Intera" sheetId="7" state="hidden" r:id="rId1"/>
    <sheet name="Fat-Intra 01" sheetId="8" state="hidden" r:id="rId2"/>
    <sheet name="Light-Intra" sheetId="10" state="hidden" r:id="rId3"/>
    <sheet name="Fat-Intra 01 V01" sheetId="11" r:id="rId4"/>
    <sheet name="Light-Intra V01" sheetId="12" r:id="rId5"/>
    <sheet name="Fat-Intra 01 V02" sheetId="13" state="hidden" r:id="rId6"/>
    <sheet name="Light-Intra V02" sheetId="14" state="hidden" r:id="rId7"/>
  </sheet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  <pivotCache cacheId="10" r:id="rId18"/>
    <pivotCache cacheId="11" r:id="rId19"/>
    <pivotCache cacheId="1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4" i="14" l="1"/>
  <c r="AB33" i="14"/>
  <c r="AB32" i="14"/>
  <c r="AB31" i="14"/>
  <c r="AB30" i="14"/>
  <c r="AB29" i="14"/>
  <c r="AB28" i="14"/>
  <c r="AC28" i="14" s="1"/>
  <c r="AB27" i="14"/>
  <c r="AC27" i="14" s="1"/>
  <c r="AB26" i="14"/>
  <c r="AB25" i="14"/>
  <c r="AB24" i="14"/>
  <c r="AC30" i="14" s="1"/>
  <c r="AB23" i="14"/>
  <c r="AB20" i="14"/>
  <c r="AB19" i="14"/>
  <c r="AB18" i="14"/>
  <c r="P18" i="14"/>
  <c r="AN17" i="14"/>
  <c r="AB17" i="14"/>
  <c r="AO16" i="14"/>
  <c r="AN16" i="14"/>
  <c r="AB16" i="14"/>
  <c r="AO15" i="14"/>
  <c r="AN15" i="14"/>
  <c r="AB15" i="14"/>
  <c r="P15" i="14"/>
  <c r="AB14" i="14"/>
  <c r="AB13" i="14"/>
  <c r="AB12" i="14"/>
  <c r="AN11" i="14"/>
  <c r="AO17" i="14" s="1"/>
  <c r="AB11" i="14"/>
  <c r="AN10" i="14"/>
  <c r="AB10" i="14"/>
  <c r="Q10" i="14"/>
  <c r="P20" i="14" s="1"/>
  <c r="M10" i="14"/>
  <c r="S10" i="14" s="1"/>
  <c r="P22" i="14" s="1"/>
  <c r="L10" i="14"/>
  <c r="R10" i="14" s="1"/>
  <c r="P21" i="14" s="1"/>
  <c r="K10" i="14"/>
  <c r="J10" i="14"/>
  <c r="AN9" i="14"/>
  <c r="AB9" i="14"/>
  <c r="AC34" i="14" s="1"/>
  <c r="S9" i="14"/>
  <c r="R9" i="14"/>
  <c r="P17" i="14" s="1"/>
  <c r="Q9" i="14"/>
  <c r="P16" i="14" s="1"/>
  <c r="P9" i="14"/>
  <c r="M9" i="14"/>
  <c r="L9" i="14"/>
  <c r="K9" i="14"/>
  <c r="J9" i="14"/>
  <c r="P10" i="14" s="1"/>
  <c r="P19" i="14" s="1"/>
  <c r="AB34" i="13"/>
  <c r="AB33" i="13"/>
  <c r="AB32" i="13"/>
  <c r="AB31" i="13"/>
  <c r="AC30" i="13"/>
  <c r="AB30" i="13"/>
  <c r="AC29" i="13"/>
  <c r="AB29" i="13"/>
  <c r="AC28" i="13"/>
  <c r="AB28" i="13"/>
  <c r="AC27" i="13"/>
  <c r="AB27" i="13"/>
  <c r="AB26" i="13"/>
  <c r="AB25" i="13"/>
  <c r="AB24" i="13"/>
  <c r="AB23" i="13"/>
  <c r="AB20" i="13"/>
  <c r="AB19" i="13"/>
  <c r="AB18" i="13"/>
  <c r="AN17" i="13"/>
  <c r="AB17" i="13"/>
  <c r="AN16" i="13"/>
  <c r="AB16" i="13"/>
  <c r="J16" i="13"/>
  <c r="AN15" i="13"/>
  <c r="AB15" i="13"/>
  <c r="AB14" i="13"/>
  <c r="AB13" i="13"/>
  <c r="AB12" i="13"/>
  <c r="AN11" i="13"/>
  <c r="AO17" i="13" s="1"/>
  <c r="AB11" i="13"/>
  <c r="AN10" i="13"/>
  <c r="AO16" i="13" s="1"/>
  <c r="AB10" i="13"/>
  <c r="R10" i="13"/>
  <c r="P21" i="13" s="1"/>
  <c r="Q10" i="13"/>
  <c r="P20" i="13" s="1"/>
  <c r="P10" i="13"/>
  <c r="P19" i="13" s="1"/>
  <c r="M10" i="13"/>
  <c r="L10" i="13"/>
  <c r="K10" i="13"/>
  <c r="J10" i="13"/>
  <c r="AN9" i="13"/>
  <c r="AO15" i="13" s="1"/>
  <c r="AB9" i="13"/>
  <c r="AC34" i="13" s="1"/>
  <c r="S9" i="13"/>
  <c r="P18" i="13" s="1"/>
  <c r="R9" i="13"/>
  <c r="P17" i="13" s="1"/>
  <c r="Q9" i="13"/>
  <c r="P16" i="13" s="1"/>
  <c r="P9" i="13"/>
  <c r="P15" i="13" s="1"/>
  <c r="M9" i="13"/>
  <c r="S10" i="13" s="1"/>
  <c r="P22" i="13" s="1"/>
  <c r="L9" i="13"/>
  <c r="K9" i="13"/>
  <c r="J9" i="13"/>
  <c r="AB34" i="12"/>
  <c r="AB33" i="12"/>
  <c r="AB32" i="12"/>
  <c r="AB31" i="12"/>
  <c r="AB30" i="12"/>
  <c r="AB29" i="12"/>
  <c r="AB28" i="12"/>
  <c r="AB27" i="12"/>
  <c r="AB26" i="12"/>
  <c r="AB25" i="12"/>
  <c r="AB24" i="12"/>
  <c r="AB23" i="12"/>
  <c r="AB20" i="12"/>
  <c r="AB19" i="12"/>
  <c r="AB18" i="12"/>
  <c r="AN17" i="12"/>
  <c r="AB17" i="12"/>
  <c r="AN16" i="12"/>
  <c r="AB16" i="12"/>
  <c r="AN15" i="12"/>
  <c r="AB15" i="12"/>
  <c r="P15" i="12"/>
  <c r="AB14" i="12"/>
  <c r="AB13" i="12"/>
  <c r="AB12" i="12"/>
  <c r="AN11" i="12"/>
  <c r="AB11" i="12"/>
  <c r="AN10" i="12"/>
  <c r="AO16" i="12" s="1"/>
  <c r="AB10" i="12"/>
  <c r="M10" i="12"/>
  <c r="L10" i="12"/>
  <c r="K10" i="12"/>
  <c r="J10" i="12"/>
  <c r="AN9" i="12"/>
  <c r="AB9" i="12"/>
  <c r="AC34" i="12" s="1"/>
  <c r="S9" i="12"/>
  <c r="P18" i="12" s="1"/>
  <c r="R9" i="12"/>
  <c r="P17" i="12" s="1"/>
  <c r="Q9" i="12"/>
  <c r="P16" i="12" s="1"/>
  <c r="P9" i="12"/>
  <c r="M9" i="12"/>
  <c r="L9" i="12"/>
  <c r="K9" i="12"/>
  <c r="J9" i="12"/>
  <c r="J16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0" i="11"/>
  <c r="AB19" i="11"/>
  <c r="AB18" i="11"/>
  <c r="P18" i="11"/>
  <c r="AN17" i="11"/>
  <c r="AB17" i="11"/>
  <c r="AN16" i="11"/>
  <c r="AB16" i="11"/>
  <c r="AN15" i="11"/>
  <c r="AB15" i="11"/>
  <c r="P15" i="11"/>
  <c r="AB14" i="11"/>
  <c r="AB13" i="11"/>
  <c r="AB12" i="11"/>
  <c r="AN11" i="11"/>
  <c r="AB11" i="11"/>
  <c r="AN10" i="11"/>
  <c r="AO16" i="11" s="1"/>
  <c r="AB10" i="11"/>
  <c r="M10" i="11"/>
  <c r="L10" i="11"/>
  <c r="K10" i="11"/>
  <c r="J10" i="11"/>
  <c r="AN9" i="11"/>
  <c r="AB9" i="11"/>
  <c r="AC34" i="11" s="1"/>
  <c r="S9" i="11"/>
  <c r="R9" i="11"/>
  <c r="P17" i="11" s="1"/>
  <c r="Q9" i="11"/>
  <c r="P16" i="11" s="1"/>
  <c r="P9" i="11"/>
  <c r="M9" i="11"/>
  <c r="L9" i="11"/>
  <c r="K9" i="11"/>
  <c r="J9" i="11"/>
  <c r="AB34" i="10"/>
  <c r="AB33" i="10"/>
  <c r="AB32" i="10"/>
  <c r="AB31" i="10"/>
  <c r="AB30" i="10"/>
  <c r="AB29" i="10"/>
  <c r="AB28" i="10"/>
  <c r="AB27" i="10"/>
  <c r="AB26" i="10"/>
  <c r="AB25" i="10"/>
  <c r="AB24" i="10"/>
  <c r="AB23" i="10"/>
  <c r="AB20" i="10"/>
  <c r="AB19" i="10"/>
  <c r="AB18" i="10"/>
  <c r="AN17" i="10"/>
  <c r="AB17" i="10"/>
  <c r="AN16" i="10"/>
  <c r="AB16" i="10"/>
  <c r="AN15" i="10"/>
  <c r="AB15" i="10"/>
  <c r="AB14" i="10"/>
  <c r="AB13" i="10"/>
  <c r="AB12" i="10"/>
  <c r="AN11" i="10"/>
  <c r="AB11" i="10"/>
  <c r="AN10" i="10"/>
  <c r="AO16" i="10" s="1"/>
  <c r="AB10" i="10"/>
  <c r="M10" i="10"/>
  <c r="L10" i="10"/>
  <c r="K10" i="10"/>
  <c r="J10" i="10"/>
  <c r="AN9" i="10"/>
  <c r="AB9" i="10"/>
  <c r="AC34" i="10" s="1"/>
  <c r="S9" i="10"/>
  <c r="P18" i="10" s="1"/>
  <c r="R9" i="10"/>
  <c r="P17" i="10" s="1"/>
  <c r="Q9" i="10"/>
  <c r="P16" i="10" s="1"/>
  <c r="P9" i="10"/>
  <c r="P15" i="10" s="1"/>
  <c r="M9" i="10"/>
  <c r="L9" i="10"/>
  <c r="K9" i="10"/>
  <c r="J9" i="10"/>
  <c r="AN15" i="8"/>
  <c r="AN16" i="8"/>
  <c r="AN17" i="8"/>
  <c r="AN11" i="8"/>
  <c r="AO17" i="8" s="1"/>
  <c r="AN10" i="8"/>
  <c r="AO16" i="8" s="1"/>
  <c r="AN9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S9" i="8"/>
  <c r="P18" i="8" s="1"/>
  <c r="R9" i="8"/>
  <c r="P17" i="8" s="1"/>
  <c r="Q9" i="8"/>
  <c r="P16" i="8" s="1"/>
  <c r="P9" i="8"/>
  <c r="P15" i="8" s="1"/>
  <c r="M10" i="8"/>
  <c r="L10" i="8"/>
  <c r="K10" i="8"/>
  <c r="J10" i="8"/>
  <c r="M9" i="8"/>
  <c r="L9" i="8"/>
  <c r="K9" i="8"/>
  <c r="J9" i="8"/>
  <c r="AO17" i="7"/>
  <c r="AO16" i="7"/>
  <c r="AO15" i="7"/>
  <c r="AE26" i="7"/>
  <c r="AE25" i="7"/>
  <c r="AE24" i="7"/>
  <c r="AE23" i="7"/>
  <c r="AE34" i="7"/>
  <c r="AE33" i="7"/>
  <c r="AE32" i="7"/>
  <c r="AE31" i="7"/>
  <c r="AE30" i="7"/>
  <c r="AE28" i="7"/>
  <c r="AE29" i="7"/>
  <c r="AE27" i="7"/>
  <c r="P10" i="7"/>
  <c r="Q10" i="7"/>
  <c r="R10" i="7"/>
  <c r="P18" i="7"/>
  <c r="P17" i="7"/>
  <c r="P16" i="7"/>
  <c r="P15" i="7"/>
  <c r="S10" i="7"/>
  <c r="S9" i="7"/>
  <c r="R9" i="7"/>
  <c r="Q9" i="7"/>
  <c r="P9" i="7"/>
  <c r="AC29" i="14" l="1"/>
  <c r="AC23" i="14"/>
  <c r="AC31" i="14"/>
  <c r="AC24" i="14"/>
  <c r="AC32" i="14"/>
  <c r="AC33" i="14"/>
  <c r="AC25" i="14"/>
  <c r="AC26" i="14"/>
  <c r="AC23" i="13"/>
  <c r="AC31" i="13"/>
  <c r="AC24" i="13"/>
  <c r="AC32" i="13"/>
  <c r="AC25" i="13"/>
  <c r="AC33" i="13"/>
  <c r="AC26" i="13"/>
  <c r="AO17" i="12"/>
  <c r="S10" i="12"/>
  <c r="P22" i="12" s="1"/>
  <c r="R10" i="12"/>
  <c r="P21" i="12" s="1"/>
  <c r="AO15" i="12"/>
  <c r="AC24" i="12"/>
  <c r="AC30" i="12"/>
  <c r="AC27" i="12"/>
  <c r="AC28" i="12"/>
  <c r="AC29" i="12"/>
  <c r="P10" i="12"/>
  <c r="P19" i="12" s="1"/>
  <c r="Q10" i="12"/>
  <c r="P20" i="12" s="1"/>
  <c r="AC23" i="12"/>
  <c r="AC31" i="12"/>
  <c r="AC32" i="12"/>
  <c r="AC33" i="12"/>
  <c r="AC25" i="12"/>
  <c r="AC26" i="12"/>
  <c r="AO17" i="11"/>
  <c r="AC30" i="11"/>
  <c r="AO15" i="11"/>
  <c r="AC29" i="11"/>
  <c r="AC28" i="11"/>
  <c r="AC27" i="11"/>
  <c r="R10" i="11"/>
  <c r="P21" i="11" s="1"/>
  <c r="S10" i="11"/>
  <c r="P22" i="11" s="1"/>
  <c r="Q10" i="11"/>
  <c r="P20" i="11" s="1"/>
  <c r="P10" i="11"/>
  <c r="P19" i="11" s="1"/>
  <c r="AC24" i="11"/>
  <c r="AC32" i="11"/>
  <c r="AC23" i="11"/>
  <c r="AC31" i="11"/>
  <c r="AC33" i="11"/>
  <c r="AC25" i="11"/>
  <c r="AC26" i="11"/>
  <c r="AC28" i="10"/>
  <c r="R10" i="10"/>
  <c r="P21" i="10" s="1"/>
  <c r="AO15" i="10"/>
  <c r="P10" i="10"/>
  <c r="P19" i="10" s="1"/>
  <c r="Q10" i="10"/>
  <c r="P20" i="10" s="1"/>
  <c r="AO17" i="10"/>
  <c r="AC29" i="10"/>
  <c r="AC30" i="10"/>
  <c r="S10" i="10"/>
  <c r="P22" i="10" s="1"/>
  <c r="AC24" i="10"/>
  <c r="AC27" i="10"/>
  <c r="AC23" i="10"/>
  <c r="AC31" i="10"/>
  <c r="AC32" i="10"/>
  <c r="AC33" i="10"/>
  <c r="AC25" i="10"/>
  <c r="AC26" i="10"/>
  <c r="AC25" i="8"/>
  <c r="AO15" i="8"/>
  <c r="P10" i="8"/>
  <c r="P19" i="8" s="1"/>
  <c r="S10" i="8"/>
  <c r="P22" i="8" s="1"/>
  <c r="AC31" i="8"/>
  <c r="AC24" i="8"/>
  <c r="AC33" i="8"/>
  <c r="AC32" i="8"/>
  <c r="AC23" i="8"/>
  <c r="AC30" i="8"/>
  <c r="Q10" i="8"/>
  <c r="P20" i="8" s="1"/>
  <c r="AC26" i="8"/>
  <c r="AC34" i="8"/>
  <c r="AC27" i="8"/>
  <c r="AC28" i="8"/>
  <c r="AC29" i="8"/>
  <c r="R10" i="8"/>
  <c r="P21" i="8" s="1"/>
</calcChain>
</file>

<file path=xl/sharedStrings.xml><?xml version="1.0" encoding="utf-8"?>
<sst xmlns="http://schemas.openxmlformats.org/spreadsheetml/2006/main" count="2686" uniqueCount="56">
  <si>
    <t>Fat</t>
  </si>
  <si>
    <t>Intra</t>
  </si>
  <si>
    <t>region</t>
  </si>
  <si>
    <t>Num.P</t>
  </si>
  <si>
    <t>Dataset size</t>
  </si>
  <si>
    <t>scalability</t>
  </si>
  <si>
    <t>Cluster type</t>
  </si>
  <si>
    <t>20 k</t>
  </si>
  <si>
    <t>40 k</t>
  </si>
  <si>
    <t>80 k</t>
  </si>
  <si>
    <t>160 k</t>
  </si>
  <si>
    <t>Type of code</t>
  </si>
  <si>
    <t>Parallel</t>
  </si>
  <si>
    <t>Serial</t>
  </si>
  <si>
    <t>Column1</t>
  </si>
  <si>
    <t>P</t>
  </si>
  <si>
    <t>S</t>
  </si>
  <si>
    <t>core 1</t>
  </si>
  <si>
    <t>core 2</t>
  </si>
  <si>
    <t>core 8</t>
  </si>
  <si>
    <t>core 4</t>
  </si>
  <si>
    <t>Speed Up</t>
  </si>
  <si>
    <t>Estimated Speed Up</t>
  </si>
  <si>
    <t>CORE 40K</t>
  </si>
  <si>
    <t>Actual Speed Up</t>
  </si>
  <si>
    <t>Row Labels</t>
  </si>
  <si>
    <t>Grand Total</t>
  </si>
  <si>
    <t>Column Labels</t>
  </si>
  <si>
    <t>core</t>
  </si>
  <si>
    <t>time</t>
  </si>
  <si>
    <t>Amdals law Speed Up</t>
  </si>
  <si>
    <t>Sum of core</t>
  </si>
  <si>
    <t>Time for Different Datasets</t>
  </si>
  <si>
    <t>Speed Up: Actual and Amdahl's law</t>
  </si>
  <si>
    <t>For Dataset 40K</t>
  </si>
  <si>
    <t>Ex time</t>
  </si>
  <si>
    <t>Strong Scailability:</t>
  </si>
  <si>
    <t>Sum of Speed Up</t>
  </si>
  <si>
    <t xml:space="preserve">Paralle </t>
  </si>
  <si>
    <t>Weak Scailability</t>
  </si>
  <si>
    <r>
      <t xml:space="preserve">In </t>
    </r>
    <r>
      <rPr>
        <b/>
        <sz val="11"/>
        <color theme="1"/>
        <rFont val="Calibri"/>
        <family val="2"/>
        <scheme val="minor"/>
      </rPr>
      <t>Weak Scalability</t>
    </r>
    <r>
      <rPr>
        <sz val="11"/>
        <color theme="1"/>
        <rFont val="Calibri"/>
        <family val="2"/>
        <scheme val="minor"/>
      </rPr>
      <t xml:space="preserve">, where the problem size increases with more processors, </t>
    </r>
    <r>
      <rPr>
        <b/>
        <sz val="11"/>
        <color theme="1"/>
        <rFont val="Calibri"/>
        <family val="2"/>
        <scheme val="minor"/>
      </rPr>
      <t>Efficiency</t>
    </r>
    <r>
      <rPr>
        <sz val="11"/>
        <color theme="1"/>
        <rFont val="Calibri"/>
        <family val="2"/>
        <scheme val="minor"/>
      </rPr>
      <t xml:space="preserve"> is the main measure.</t>
    </r>
  </si>
  <si>
    <r>
      <t xml:space="preserve">In </t>
    </r>
    <r>
      <rPr>
        <b/>
        <sz val="11"/>
        <color theme="1"/>
        <rFont val="Calibri"/>
        <family val="2"/>
        <scheme val="minor"/>
      </rPr>
      <t>Strong Scalability</t>
    </r>
    <r>
      <rPr>
        <sz val="11"/>
        <color theme="1"/>
        <rFont val="Calibri"/>
        <family val="2"/>
        <scheme val="minor"/>
      </rPr>
      <t xml:space="preserve">, where the problem size stays the same, </t>
    </r>
    <r>
      <rPr>
        <b/>
        <sz val="11"/>
        <color theme="1"/>
        <rFont val="Calibri"/>
        <family val="2"/>
        <scheme val="minor"/>
      </rPr>
      <t>both Speedup and Efficiency</t>
    </r>
    <r>
      <rPr>
        <sz val="11"/>
        <color theme="1"/>
        <rFont val="Calibri"/>
        <family val="2"/>
        <scheme val="minor"/>
      </rPr>
      <t xml:space="preserve"> are important.</t>
    </r>
  </si>
  <si>
    <t>Efficiency</t>
  </si>
  <si>
    <t xml:space="preserve">Time: Serial and Parallel </t>
  </si>
  <si>
    <t>For all size of  Datasets</t>
  </si>
  <si>
    <t>For Dataset 40 K</t>
  </si>
  <si>
    <t>Sum of Efficiency</t>
  </si>
  <si>
    <t>Core 1</t>
  </si>
  <si>
    <t>Core 2</t>
  </si>
  <si>
    <t>Core 4</t>
  </si>
  <si>
    <t>Core 8</t>
  </si>
  <si>
    <t>Time</t>
  </si>
  <si>
    <t>Core</t>
  </si>
  <si>
    <t>dataset</t>
  </si>
  <si>
    <t>Sum of Time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</si>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</sst>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9"/>
      </right>
      <top/>
      <bottom style="thin">
        <color theme="4" tint="0.39997558519241921"/>
      </bottom>
      <diagonal/>
    </border>
    <border>
      <left style="thin">
        <color theme="9"/>
      </left>
      <right style="thin">
        <color theme="9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2" fontId="0" fillId="0" borderId="2" xfId="0" applyNumberFormat="1" applyBorder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2" fontId="4" fillId="0" borderId="4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0" fontId="4" fillId="0" borderId="5" xfId="0" applyFont="1" applyBorder="1" applyAlignment="1">
      <alignment horizontal="left"/>
    </xf>
    <xf numFmtId="2" fontId="4" fillId="0" borderId="5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64" fontId="4" fillId="0" borderId="5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2" borderId="9" xfId="0" applyFont="1" applyFill="1" applyBorder="1"/>
    <xf numFmtId="0" fontId="4" fillId="2" borderId="9" xfId="0" applyFont="1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4" fillId="4" borderId="0" xfId="0" applyFont="1" applyFill="1" applyAlignment="1">
      <alignment horizontal="left"/>
    </xf>
    <xf numFmtId="2" fontId="0" fillId="3" borderId="0" xfId="0" applyNumberFormat="1" applyFill="1"/>
  </cellXfs>
  <cellStyles count="1">
    <cellStyle name="Normal" xfId="0" builtinId="0"/>
  </cellStyles>
  <dxfs count="4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indexed="65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rgb="FF000000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indexed="65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rgb="FF000000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indexed="65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rgb="FF000000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indexed="65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rgb="FF000000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indexed="65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rgb="FF000000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indexed="65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rgb="FF000000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[Calculation.XLSX]Fat-Intera!PivotTable2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Theorithical Speed Up: Actual</a:t>
            </a:r>
            <a:r>
              <a:rPr lang="en-US" sz="1200" b="1" baseline="0"/>
              <a:t> and Amdahl's law</a:t>
            </a:r>
            <a:endParaRPr lang="en-US" sz="1200" b="1"/>
          </a:p>
        </c:rich>
      </c:tx>
      <c:layout>
        <c:manualLayout>
          <c:xMode val="edge"/>
          <c:yMode val="edge"/>
          <c:x val="0.30179761408328626"/>
          <c:y val="7.91383377962710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'Fat-Intera'!$P$25:$P$26</c:f>
              <c:strCache>
                <c:ptCount val="1"/>
                <c:pt idx="0">
                  <c:v>Actual Speed 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'Fat-Intera'!$O$27:$O$30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'Fat-Intera'!$P$27:$P$30</c:f>
              <c:numCache>
                <c:formatCode>0.00</c:formatCode>
                <c:ptCount val="4"/>
                <c:pt idx="0">
                  <c:v>0.98615916955017302</c:v>
                </c:pt>
                <c:pt idx="1">
                  <c:v>1.455958549222798</c:v>
                </c:pt>
                <c:pt idx="2">
                  <c:v>2.0354609929078018</c:v>
                </c:pt>
                <c:pt idx="3">
                  <c:v>2.2265625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7CD-42A0-8503-8D1E0425C74E}"/>
            </c:ext>
          </c:extLst>
        </c:ser>
        <c:ser>
          <c:idx val="1"/>
          <c:order val="1"/>
          <c:tx>
            <c:strRef>
              <c:f>'Fat-Intera'!$Q$25:$Q$26</c:f>
              <c:strCache>
                <c:ptCount val="1"/>
                <c:pt idx="0">
                  <c:v>Amdals law Speed 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'Fat-Intera'!$O$27:$O$30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'Fat-Intera'!$Q$27:$Q$30</c:f>
              <c:numCache>
                <c:formatCode>0.00</c:formatCode>
                <c:ptCount val="4"/>
                <c:pt idx="0">
                  <c:v>1</c:v>
                </c:pt>
                <c:pt idx="1">
                  <c:v>1.6</c:v>
                </c:pt>
                <c:pt idx="2">
                  <c:v>2.2857142857142856</c:v>
                </c:pt>
                <c:pt idx="3">
                  <c:v>2.9090909090909092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7CD-42A0-8503-8D1E0425C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499455"/>
        <c:axId val="554497055"/>
      </c:lineChart>
      <c:catAx>
        <c:axId val="55449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497055"/>
        <c:crosses val="autoZero"/>
        <c:auto val="1"/>
        <c:lblAlgn val="ctr"/>
        <c:lblOffset val="100"/>
        <c:noMultiLvlLbl val="0"/>
      </c:catAx>
      <c:valAx>
        <c:axId val="55449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Up</a:t>
                </a:r>
              </a:p>
            </c:rich>
          </c:tx>
          <c:layout>
            <c:manualLayout>
              <c:xMode val="edge"/>
              <c:yMode val="edge"/>
              <c:x val="0.17393561786085152"/>
              <c:y val="0.383150999930318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499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[Calculation.XLSX]Fat-Intera!PivotTable4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Speed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'Fat-Intera'!$Z$38:$Z$39</c:f>
              <c:strCache>
                <c:ptCount val="1"/>
                <c:pt idx="0">
                  <c:v>20 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'Fat-Intera'!$Y$40:$Y$44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f>'Fat-Intera'!$Z$40:$Z$44</c:f>
              <c:numCache>
                <c:formatCode>0.00</c:formatCode>
                <c:ptCount val="4"/>
                <c:pt idx="0">
                  <c:v>0.64129263147409654</c:v>
                </c:pt>
                <c:pt idx="1">
                  <c:v>0.82868122977346281</c:v>
                </c:pt>
                <c:pt idx="2">
                  <c:v>0.70004271678769758</c:v>
                </c:pt>
                <c:pt idx="3">
                  <c:v>0.61811186964885156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A-422B-ABBE-CB2ECFA1B94A}"/>
            </c:ext>
          </c:extLst>
        </c:ser>
        <c:ser>
          <c:idx val="1"/>
          <c:order val="1"/>
          <c:tx>
            <c:strRef>
              <c:f>'Fat-Intera'!$AA$38:$AA$39</c:f>
              <c:strCache>
                <c:ptCount val="1"/>
                <c:pt idx="0">
                  <c:v>40 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'Fat-Intera'!$Y$40:$Y$44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f>'Fat-Intera'!$AA$40:$AA$44</c:f>
              <c:numCache>
                <c:formatCode>0.00</c:formatCode>
                <c:ptCount val="4"/>
                <c:pt idx="0">
                  <c:v>2.17536</c:v>
                </c:pt>
                <c:pt idx="1">
                  <c:v>1.08768</c:v>
                </c:pt>
                <c:pt idx="2">
                  <c:v>0.72511999999999999</c:v>
                </c:pt>
                <c:pt idx="3">
                  <c:v>0.54383999999999999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A-422B-ABBE-CB2ECFA1B94A}"/>
            </c:ext>
          </c:extLst>
        </c:ser>
        <c:ser>
          <c:idx val="2"/>
          <c:order val="2"/>
          <c:tx>
            <c:strRef>
              <c:f>'Fat-Intera'!$AB$38:$AB$39</c:f>
              <c:strCache>
                <c:ptCount val="1"/>
                <c:pt idx="0">
                  <c:v>80 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'Fat-Intera'!$Y$40:$Y$44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strCache>
            </c:strRef>
          </c:cat>
          <c:val>
            <c:numRef>
              <c:f>'Fat-Intera'!$AB$40:$AB$44</c:f>
              <c:numCache>
                <c:formatCode>0.00</c:formatCode>
                <c:ptCount val="4"/>
                <c:pt idx="0">
                  <c:v>0.24539379559410679</c:v>
                </c:pt>
                <c:pt idx="1">
                  <c:v>0.30537852992495468</c:v>
                </c:pt>
                <c:pt idx="2">
                  <c:v>0.25879937693362332</c:v>
                </c:pt>
                <c:pt idx="3">
                  <c:v>0.23252526242741164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BA-422B-ABBE-CB2ECFA1B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35951"/>
        <c:axId val="147951311"/>
      </c:lineChart>
      <c:catAx>
        <c:axId val="14793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1311"/>
        <c:crosses val="autoZero"/>
        <c:auto val="1"/>
        <c:lblAlgn val="ctr"/>
        <c:lblOffset val="100"/>
        <c:noMultiLvlLbl val="0"/>
      </c:catAx>
      <c:valAx>
        <c:axId val="14795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35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[Calculation.XLSX]Fat-Intera!PivotTable1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Efficiency by number of core and</a:t>
            </a:r>
            <a:r>
              <a:rPr lang="en-US" sz="1200" b="1" baseline="0"/>
              <a:t> dataset</a:t>
            </a:r>
            <a:endParaRPr lang="en-US" sz="1200" b="1"/>
          </a:p>
        </c:rich>
      </c:tx>
      <c:layout>
        <c:manualLayout>
          <c:xMode val="edge"/>
          <c:yMode val="edge"/>
          <c:x val="0.1356724029493904"/>
          <c:y val="0.100299580869184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'Fat-Intera'!$AJ$21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'Fat-Intera'!$AI$22:$AI$28</c:f>
              <c:multiLvlStrCache>
                <c:ptCount val="3"/>
                <c:lvl>
                  <c:pt idx="0">
                    <c:v>20 k</c:v>
                  </c:pt>
                  <c:pt idx="1">
                    <c:v>40 k</c:v>
                  </c:pt>
                  <c:pt idx="2">
                    <c:v>80 k</c:v>
                  </c:pt>
                </c:lvl>
                <c:lvl>
                  <c:pt idx="0">
                    <c:v>2</c:v>
                  </c:pt>
                  <c:pt idx="1">
                    <c:v>4</c:v>
                  </c:pt>
                  <c:pt idx="2">
                    <c:v>8</c:v>
                  </c:pt>
                </c:lvl>
              </c:multiLvlStrCache>
            </c:multiLvlStrRef>
          </c:cat>
          <c:val>
            <c:numRef>
              <c:f>'Fat-Intera'!$AJ$22:$AJ$28</c:f>
              <c:numCache>
                <c:formatCode>0.00</c:formatCode>
                <c:ptCount val="3"/>
                <c:pt idx="0">
                  <c:v>0.82868122977346281</c:v>
                </c:pt>
                <c:pt idx="1">
                  <c:v>0.95141666666666669</c:v>
                </c:pt>
                <c:pt idx="2">
                  <c:v>0.3681658587677456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6F-4541-AEF4-BA9026447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039567"/>
        <c:axId val="1420040047"/>
      </c:lineChart>
      <c:catAx>
        <c:axId val="142003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40047"/>
        <c:crosses val="autoZero"/>
        <c:auto val="1"/>
        <c:lblAlgn val="ctr"/>
        <c:lblOffset val="100"/>
        <c:noMultiLvlLbl val="0"/>
      </c:catAx>
      <c:valAx>
        <c:axId val="142004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3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[Calculation.XLSX]Fat-Intra 01!PivotTable2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Theoretical</a:t>
            </a:r>
            <a:r>
              <a:rPr lang="en-US" sz="1200" b="1" baseline="0"/>
              <a:t> Speed Up: Actal SpeedUp and Amdahl's law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'Fat-Intra 01'!$P$24:$P$25</c:f>
              <c:strCache>
                <c:ptCount val="1"/>
                <c:pt idx="0">
                  <c:v>Actual Speed 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'Fat-Intra 01'!$O$26:$O$30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01'!$P$26:$P$30</c:f>
              <c:numCache>
                <c:formatCode>0.00</c:formatCode>
                <c:ptCount val="4"/>
                <c:pt idx="0">
                  <c:v>0.72724399569984122</c:v>
                </c:pt>
                <c:pt idx="1">
                  <c:v>0.93103248451935483</c:v>
                </c:pt>
                <c:pt idx="2">
                  <c:v>0.93828903736211833</c:v>
                </c:pt>
                <c:pt idx="3">
                  <c:v>0.87429954242720598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3F-408F-AFBE-2700691B248F}"/>
            </c:ext>
          </c:extLst>
        </c:ser>
        <c:ser>
          <c:idx val="1"/>
          <c:order val="1"/>
          <c:tx>
            <c:strRef>
              <c:f>'Fat-Intra 01'!$Q$24:$Q$25</c:f>
              <c:strCache>
                <c:ptCount val="1"/>
                <c:pt idx="0">
                  <c:v>Amdals law Speed 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'Fat-Intra 01'!$O$26:$O$30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01'!$Q$26:$Q$30</c:f>
              <c:numCache>
                <c:formatCode>0.00</c:formatCode>
                <c:ptCount val="4"/>
                <c:pt idx="0">
                  <c:v>1</c:v>
                </c:pt>
                <c:pt idx="1">
                  <c:v>1.6</c:v>
                </c:pt>
                <c:pt idx="2">
                  <c:v>2.2857142857142856</c:v>
                </c:pt>
                <c:pt idx="3">
                  <c:v>2.9090909090909092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3F-408F-AFBE-2700691B2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857919"/>
        <c:axId val="1171856479"/>
      </c:lineChart>
      <c:catAx>
        <c:axId val="117185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56479"/>
        <c:crosses val="autoZero"/>
        <c:auto val="1"/>
        <c:lblAlgn val="ctr"/>
        <c:lblOffset val="100"/>
        <c:noMultiLvlLbl val="0"/>
      </c:catAx>
      <c:valAx>
        <c:axId val="117185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layout>
            <c:manualLayout>
              <c:xMode val="edge"/>
              <c:yMode val="edge"/>
              <c:x val="0.14901233264206284"/>
              <c:y val="0.36794765237678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57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[Calculation.XLSX]Fat-Intra 01!PivotTable3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'Fat-Intra 01'!$X$40:$X$41</c:f>
              <c:strCache>
                <c:ptCount val="1"/>
                <c:pt idx="0">
                  <c:v>20 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'Fat-Intra 01'!$W$42:$W$45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01'!$X$42:$X$45</c:f>
              <c:numCache>
                <c:formatCode>0.00</c:formatCode>
                <c:ptCount val="4"/>
                <c:pt idx="0">
                  <c:v>0.7587007812946468</c:v>
                </c:pt>
                <c:pt idx="1">
                  <c:v>0.83265388406056795</c:v>
                </c:pt>
                <c:pt idx="2">
                  <c:v>0.72383819423079165</c:v>
                </c:pt>
                <c:pt idx="3">
                  <c:v>0.67477590970313706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E-4514-87B0-37A6D3474439}"/>
            </c:ext>
          </c:extLst>
        </c:ser>
        <c:ser>
          <c:idx val="1"/>
          <c:order val="1"/>
          <c:tx>
            <c:strRef>
              <c:f>'Fat-Intra 01'!$Y$40:$Y$41</c:f>
              <c:strCache>
                <c:ptCount val="1"/>
                <c:pt idx="0">
                  <c:v>40 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'Fat-Intra 01'!$W$42:$W$45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01'!$Y$42:$Y$45</c:f>
              <c:numCache>
                <c:formatCode>0.00</c:formatCode>
                <c:ptCount val="4"/>
                <c:pt idx="0">
                  <c:v>0.53445514163468288</c:v>
                </c:pt>
                <c:pt idx="1">
                  <c:v>0.61596962371822472</c:v>
                </c:pt>
                <c:pt idx="2">
                  <c:v>0.54911588455823757</c:v>
                </c:pt>
                <c:pt idx="3">
                  <c:v>0.53114612110093495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2E-4514-87B0-37A6D3474439}"/>
            </c:ext>
          </c:extLst>
        </c:ser>
        <c:ser>
          <c:idx val="2"/>
          <c:order val="2"/>
          <c:tx>
            <c:strRef>
              <c:f>'Fat-Intra 01'!$Z$40:$Z$41</c:f>
              <c:strCache>
                <c:ptCount val="1"/>
                <c:pt idx="0">
                  <c:v>80 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'Fat-Intra 01'!$W$42:$W$45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01'!$Z$42:$Z$45</c:f>
              <c:numCache>
                <c:formatCode>0.00</c:formatCode>
                <c:ptCount val="4"/>
                <c:pt idx="0">
                  <c:v>0.24945375579797285</c:v>
                </c:pt>
                <c:pt idx="1">
                  <c:v>0.30382360200930764</c:v>
                </c:pt>
                <c:pt idx="2">
                  <c:v>0.2582965062953389</c:v>
                </c:pt>
                <c:pt idx="3">
                  <c:v>0.26126394595498781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2E-4514-87B0-37A6D3474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860447"/>
        <c:axId val="1198857567"/>
      </c:lineChart>
      <c:catAx>
        <c:axId val="119886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857567"/>
        <c:crosses val="autoZero"/>
        <c:auto val="1"/>
        <c:lblAlgn val="ctr"/>
        <c:lblOffset val="100"/>
        <c:noMultiLvlLbl val="0"/>
      </c:catAx>
      <c:valAx>
        <c:axId val="119885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860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[Calculation.XLSX]Fat-Intra 01!PivotTable4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'Fat-Intra 01'!$AJ$21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'Fat-Intra 01'!$AI$22:$AI$28</c:f>
              <c:multiLvlStrCache>
                <c:ptCount val="3"/>
                <c:lvl>
                  <c:pt idx="0">
                    <c:v>20 k</c:v>
                  </c:pt>
                  <c:pt idx="1">
                    <c:v>40 k</c:v>
                  </c:pt>
                  <c:pt idx="2">
                    <c:v>80 k</c:v>
                  </c:pt>
                </c:lvl>
                <c:lvl>
                  <c:pt idx="0">
                    <c:v>Core 2</c:v>
                  </c:pt>
                  <c:pt idx="1">
                    <c:v>Core 4</c:v>
                  </c:pt>
                  <c:pt idx="2">
                    <c:v>Core 8</c:v>
                  </c:pt>
                </c:lvl>
              </c:multiLvlStrCache>
            </c:multiLvlStrRef>
          </c:cat>
          <c:val>
            <c:numRef>
              <c:f>'Fat-Intra 01'!$AJ$22:$AJ$28</c:f>
              <c:numCache>
                <c:formatCode>0.00</c:formatCode>
                <c:ptCount val="3"/>
                <c:pt idx="0">
                  <c:v>0.67477590970313706</c:v>
                </c:pt>
                <c:pt idx="1">
                  <c:v>0.72274134406951873</c:v>
                </c:pt>
                <c:pt idx="2">
                  <c:v>0.72018268023789478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5-40DC-A24E-0810ACEE5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648447"/>
        <c:axId val="1422736255"/>
      </c:lineChart>
      <c:catAx>
        <c:axId val="144064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736255"/>
        <c:crosses val="autoZero"/>
        <c:auto val="1"/>
        <c:lblAlgn val="ctr"/>
        <c:lblOffset val="100"/>
        <c:noMultiLvlLbl val="0"/>
      </c:catAx>
      <c:valAx>
        <c:axId val="14227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48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[Calculation.XLSX]Light-Intra!PivotTable5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Speed Up: Actual and Amdahl's law</a:t>
            </a:r>
          </a:p>
        </c:rich>
      </c:tx>
      <c:layout>
        <c:manualLayout>
          <c:xMode val="edge"/>
          <c:yMode val="edge"/>
          <c:x val="0.25733073356849595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'Light-Intra'!$P$25:$P$26</c:f>
              <c:strCache>
                <c:ptCount val="1"/>
                <c:pt idx="0">
                  <c:v>Actual Speed 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'Light-Intra'!$O$27:$O$31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'Light-Intra'!$P$27:$P$31</c:f>
              <c:numCache>
                <c:formatCode>0.00</c:formatCode>
                <c:ptCount val="4"/>
                <c:pt idx="0">
                  <c:v>0.69907745695817403</c:v>
                </c:pt>
                <c:pt idx="1">
                  <c:v>0.76492375943415958</c:v>
                </c:pt>
                <c:pt idx="2">
                  <c:v>0.80918194772472907</c:v>
                </c:pt>
                <c:pt idx="3">
                  <c:v>0.75269173468891259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A-456E-838A-9B48474C2728}"/>
            </c:ext>
          </c:extLst>
        </c:ser>
        <c:ser>
          <c:idx val="1"/>
          <c:order val="1"/>
          <c:tx>
            <c:strRef>
              <c:f>'Light-Intra'!$Q$25:$Q$26</c:f>
              <c:strCache>
                <c:ptCount val="1"/>
                <c:pt idx="0">
                  <c:v>Amdals law Speed 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'Light-Intra'!$O$27:$O$31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'Light-Intra'!$Q$27:$Q$31</c:f>
              <c:numCache>
                <c:formatCode>0.00</c:formatCode>
                <c:ptCount val="4"/>
                <c:pt idx="0">
                  <c:v>1</c:v>
                </c:pt>
                <c:pt idx="1">
                  <c:v>1.6666666666666665</c:v>
                </c:pt>
                <c:pt idx="2">
                  <c:v>2.5</c:v>
                </c:pt>
                <c:pt idx="3">
                  <c:v>3.333333333333333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0A-456E-838A-9B48474C2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161487"/>
        <c:axId val="1157159087"/>
      </c:lineChart>
      <c:catAx>
        <c:axId val="115716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159087"/>
        <c:crosses val="autoZero"/>
        <c:auto val="1"/>
        <c:lblAlgn val="ctr"/>
        <c:lblOffset val="100"/>
        <c:noMultiLvlLbl val="0"/>
      </c:catAx>
      <c:valAx>
        <c:axId val="115715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Up</a:t>
                </a:r>
              </a:p>
            </c:rich>
          </c:tx>
          <c:layout>
            <c:manualLayout>
              <c:xMode val="edge"/>
              <c:yMode val="edge"/>
              <c:x val="0.19370752190279111"/>
              <c:y val="0.36236913094196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161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[Calculation.XLSX]Light-Intra!PivotTable6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Speed Up: Strong Scailability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'Light-Intra'!$X$37:$X$38</c:f>
              <c:strCache>
                <c:ptCount val="1"/>
                <c:pt idx="0">
                  <c:v>20 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'Light-Intra'!$W$39:$W$43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'Light-Intra'!$X$39:$X$43</c:f>
              <c:numCache>
                <c:formatCode>0.00</c:formatCode>
                <c:ptCount val="4"/>
                <c:pt idx="0">
                  <c:v>0.75895724344594517</c:v>
                </c:pt>
                <c:pt idx="1">
                  <c:v>0.65955765903829056</c:v>
                </c:pt>
                <c:pt idx="2">
                  <c:v>0.71213234132625669</c:v>
                </c:pt>
                <c:pt idx="3">
                  <c:v>0.63151240934193886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B-4E15-9806-C96DFD4F9CB9}"/>
            </c:ext>
          </c:extLst>
        </c:ser>
        <c:ser>
          <c:idx val="1"/>
          <c:order val="1"/>
          <c:tx>
            <c:strRef>
              <c:f>'Light-Intra'!$Y$37:$Y$38</c:f>
              <c:strCache>
                <c:ptCount val="1"/>
                <c:pt idx="0">
                  <c:v>40 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'Light-Intra'!$W$39:$W$43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'Light-Intra'!$Y$39:$Y$43</c:f>
              <c:numCache>
                <c:formatCode>0.00</c:formatCode>
                <c:ptCount val="4"/>
                <c:pt idx="0">
                  <c:v>0.66816310072214968</c:v>
                </c:pt>
                <c:pt idx="1">
                  <c:v>0.6357077421724957</c:v>
                </c:pt>
                <c:pt idx="2">
                  <c:v>0.67404874489056321</c:v>
                </c:pt>
                <c:pt idx="3">
                  <c:v>0.63347922492869535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AB-4E15-9806-C96DFD4F9CB9}"/>
            </c:ext>
          </c:extLst>
        </c:ser>
        <c:ser>
          <c:idx val="2"/>
          <c:order val="2"/>
          <c:tx>
            <c:strRef>
              <c:f>'Light-Intra'!$Z$37:$Z$38</c:f>
              <c:strCache>
                <c:ptCount val="1"/>
                <c:pt idx="0">
                  <c:v>80 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'Light-Intra'!$W$39:$W$43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'Light-Intra'!$Z$39:$Z$43</c:f>
              <c:numCache>
                <c:formatCode>0.00</c:formatCode>
                <c:ptCount val="4"/>
                <c:pt idx="0">
                  <c:v>0.25800687049222315</c:v>
                </c:pt>
                <c:pt idx="1">
                  <c:v>0.24066103746528458</c:v>
                </c:pt>
                <c:pt idx="2">
                  <c:v>0.25403710345663116</c:v>
                </c:pt>
                <c:pt idx="3">
                  <c:v>0.25510048182612954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AB-4E15-9806-C96DFD4F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399487"/>
        <c:axId val="1414400927"/>
      </c:lineChart>
      <c:catAx>
        <c:axId val="141439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400927"/>
        <c:crosses val="autoZero"/>
        <c:auto val="1"/>
        <c:lblAlgn val="ctr"/>
        <c:lblOffset val="100"/>
        <c:noMultiLvlLbl val="0"/>
      </c:catAx>
      <c:valAx>
        <c:axId val="141440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99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[Calculation.XLSX]Light-Intra!PivotTable7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Efficiency: Weak Scailability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'Light-Intra'!$AJ$20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'Light-Intra'!$AI$21:$AI$27</c:f>
              <c:multiLvlStrCache>
                <c:ptCount val="3"/>
                <c:lvl>
                  <c:pt idx="0">
                    <c:v>20 k</c:v>
                  </c:pt>
                  <c:pt idx="1">
                    <c:v>40 k</c:v>
                  </c:pt>
                  <c:pt idx="2">
                    <c:v>80 k</c:v>
                  </c:pt>
                </c:lvl>
                <c:lvl>
                  <c:pt idx="0">
                    <c:v>Core 2</c:v>
                  </c:pt>
                  <c:pt idx="1">
                    <c:v>Core 4</c:v>
                  </c:pt>
                  <c:pt idx="2">
                    <c:v>Core 8</c:v>
                  </c:pt>
                </c:lvl>
              </c:multiLvlStrCache>
            </c:multiLvlStrRef>
          </c:cat>
          <c:val>
            <c:numRef>
              <c:f>'Light-Intra'!$AJ$21:$AJ$27</c:f>
              <c:numCache>
                <c:formatCode>0.00</c:formatCode>
                <c:ptCount val="3"/>
                <c:pt idx="0">
                  <c:v>0.63151240934193886</c:v>
                </c:pt>
                <c:pt idx="1">
                  <c:v>0.66278883871371341</c:v>
                </c:pt>
                <c:pt idx="2">
                  <c:v>0.7204701129165052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F-4BB1-B591-BB59EC7F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062047"/>
        <c:axId val="1562052927"/>
      </c:lineChart>
      <c:catAx>
        <c:axId val="15620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52927"/>
        <c:crosses val="autoZero"/>
        <c:auto val="1"/>
        <c:lblAlgn val="ctr"/>
        <c:lblOffset val="100"/>
        <c:noMultiLvlLbl val="0"/>
      </c:catAx>
      <c:valAx>
        <c:axId val="156205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62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[Calculation.XLSX]Fat-Intra 01 V01!PivotTable8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Speedup: Actual and Amdal's</a:t>
            </a:r>
            <a:r>
              <a:rPr lang="en-US" sz="1200" b="1" baseline="0"/>
              <a:t> law</a:t>
            </a:r>
            <a:endParaRPr lang="en-US" sz="1200" b="1"/>
          </a:p>
        </c:rich>
      </c:tx>
      <c:layout>
        <c:manualLayout>
          <c:xMode val="edge"/>
          <c:yMode val="edge"/>
          <c:x val="0.297436835775577"/>
          <c:y val="6.0504434110671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'Fat-Intra 01 V01'!$P$25:$P$26</c:f>
              <c:strCache>
                <c:ptCount val="1"/>
                <c:pt idx="0">
                  <c:v>Actual Speed 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'Fat-Intra 01 V01'!$O$27:$O$31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V01'!$P$27:$P$31</c:f>
              <c:numCache>
                <c:formatCode>0.00</c:formatCode>
                <c:ptCount val="4"/>
                <c:pt idx="0">
                  <c:v>0.90983314139046445</c:v>
                </c:pt>
                <c:pt idx="1">
                  <c:v>1.1746987951807228</c:v>
                </c:pt>
                <c:pt idx="2">
                  <c:v>1.5436241610738255</c:v>
                </c:pt>
                <c:pt idx="3">
                  <c:v>1.8390804597701149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2-4FC9-90F0-EFD806AA3538}"/>
            </c:ext>
          </c:extLst>
        </c:ser>
        <c:ser>
          <c:idx val="1"/>
          <c:order val="1"/>
          <c:tx>
            <c:strRef>
              <c:f>'Fat-Intra 01 V01'!$Q$25:$Q$26</c:f>
              <c:strCache>
                <c:ptCount val="1"/>
                <c:pt idx="0">
                  <c:v>Amdals law Speed 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'Fat-Intra 01 V01'!$O$27:$O$31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V01'!$Q$27:$Q$31</c:f>
              <c:numCache>
                <c:formatCode>0.00</c:formatCode>
                <c:ptCount val="4"/>
                <c:pt idx="0">
                  <c:v>1</c:v>
                </c:pt>
                <c:pt idx="1">
                  <c:v>1.6</c:v>
                </c:pt>
                <c:pt idx="2">
                  <c:v>2.2857142857142856</c:v>
                </c:pt>
                <c:pt idx="3">
                  <c:v>2.9090909090909092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92-4FC9-90F0-EFD806AA3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988495"/>
        <c:axId val="1666995215"/>
      </c:lineChart>
      <c:catAx>
        <c:axId val="166698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95215"/>
        <c:crosses val="autoZero"/>
        <c:auto val="1"/>
        <c:lblAlgn val="ctr"/>
        <c:lblOffset val="100"/>
        <c:noMultiLvlLbl val="0"/>
      </c:catAx>
      <c:valAx>
        <c:axId val="166699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0.18496460913384288"/>
              <c:y val="0.3717025624901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88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[Calculation.XLSX]Fat-Intra 01 V01!PivotTable9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Speedup by Number of Cores</a:t>
            </a:r>
          </a:p>
        </c:rich>
      </c:tx>
      <c:layout>
        <c:manualLayout>
          <c:xMode val="edge"/>
          <c:yMode val="edge"/>
          <c:x val="0.32227307797260696"/>
          <c:y val="6.0451813961654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'Fat-Intra 01 V01'!$X$37:$X$38</c:f>
              <c:strCache>
                <c:ptCount val="1"/>
                <c:pt idx="0">
                  <c:v>20 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'Fat-Intra 01 V01'!$W$39:$W$43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V01'!$X$39:$X$43</c:f>
              <c:numCache>
                <c:formatCode>0.00</c:formatCode>
                <c:ptCount val="4"/>
                <c:pt idx="0">
                  <c:v>1.0613197919813209</c:v>
                </c:pt>
                <c:pt idx="1">
                  <c:v>1.2380952380952381</c:v>
                </c:pt>
                <c:pt idx="2">
                  <c:v>1.2871287128712872</c:v>
                </c:pt>
                <c:pt idx="3">
                  <c:v>1.3978494623655913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ED-42EE-B9C4-5735CC53D3DB}"/>
            </c:ext>
          </c:extLst>
        </c:ser>
        <c:ser>
          <c:idx val="1"/>
          <c:order val="1"/>
          <c:tx>
            <c:strRef>
              <c:f>'Fat-Intra 01 V01'!$Y$37:$Y$38</c:f>
              <c:strCache>
                <c:ptCount val="1"/>
                <c:pt idx="0">
                  <c:v>40 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'Fat-Intra 01 V01'!$W$39:$W$43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V01'!$Y$39:$Y$43</c:f>
              <c:numCache>
                <c:formatCode>0.00</c:formatCode>
                <c:ptCount val="4"/>
                <c:pt idx="0">
                  <c:v>0.50280252550525673</c:v>
                </c:pt>
                <c:pt idx="1">
                  <c:v>0.6325301204819278</c:v>
                </c:pt>
                <c:pt idx="2">
                  <c:v>0.70469798657718119</c:v>
                </c:pt>
                <c:pt idx="3">
                  <c:v>0.80459770114942541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ED-42EE-B9C4-5735CC53D3DB}"/>
            </c:ext>
          </c:extLst>
        </c:ser>
        <c:ser>
          <c:idx val="2"/>
          <c:order val="2"/>
          <c:tx>
            <c:strRef>
              <c:f>'Fat-Intra 01 V01'!$Z$37:$Z$38</c:f>
              <c:strCache>
                <c:ptCount val="1"/>
                <c:pt idx="0">
                  <c:v>80 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'Fat-Intra 01 V01'!$W$39:$W$43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V01'!$Z$39:$Z$43</c:f>
              <c:numCache>
                <c:formatCode>0.00</c:formatCode>
                <c:ptCount val="4"/>
                <c:pt idx="0">
                  <c:v>0.38461538461538464</c:v>
                </c:pt>
                <c:pt idx="1">
                  <c:v>0.44819858645061195</c:v>
                </c:pt>
                <c:pt idx="2">
                  <c:v>0.55437100213219614</c:v>
                </c:pt>
                <c:pt idx="3">
                  <c:v>0.6295399515738499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ED-42EE-B9C4-5735CC53D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219983"/>
        <c:axId val="1193221903"/>
      </c:lineChart>
      <c:catAx>
        <c:axId val="11932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21903"/>
        <c:crosses val="autoZero"/>
        <c:auto val="1"/>
        <c:lblAlgn val="ctr"/>
        <c:lblOffset val="100"/>
        <c:noMultiLvlLbl val="0"/>
      </c:catAx>
      <c:valAx>
        <c:axId val="1193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19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[Calculation.XLSX]Fat-Intra 01 V01!PivotTable10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'Fat-Intra 01 V01'!$AJ$20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'Fat-Intra 01 V01'!$AI$21:$AI$27</c:f>
              <c:multiLvlStrCache>
                <c:ptCount val="3"/>
                <c:lvl>
                  <c:pt idx="0">
                    <c:v>Core 2</c:v>
                  </c:pt>
                  <c:pt idx="1">
                    <c:v>Core 4</c:v>
                  </c:pt>
                  <c:pt idx="2">
                    <c:v>Core 8</c:v>
                  </c:pt>
                </c:lvl>
                <c:lvl>
                  <c:pt idx="0">
                    <c:v>20 k</c:v>
                  </c:pt>
                  <c:pt idx="1">
                    <c:v>40 k</c:v>
                  </c:pt>
                  <c:pt idx="2">
                    <c:v>80 k</c:v>
                  </c:pt>
                </c:lvl>
              </c:multiLvlStrCache>
            </c:multiLvlStrRef>
          </c:cat>
          <c:val>
            <c:numRef>
              <c:f>'Fat-Intra 01 V01'!$AJ$21:$AJ$27</c:f>
              <c:numCache>
                <c:formatCode>0.00</c:formatCode>
                <c:ptCount val="3"/>
                <c:pt idx="0">
                  <c:v>1.3978494623655913</c:v>
                </c:pt>
                <c:pt idx="1">
                  <c:v>1.4559386973180077</c:v>
                </c:pt>
                <c:pt idx="2">
                  <c:v>1.6464891041162228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6-4E1D-847F-B167BDF76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439743"/>
        <c:axId val="1084440223"/>
      </c:lineChart>
      <c:catAx>
        <c:axId val="10844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40223"/>
        <c:crosses val="autoZero"/>
        <c:auto val="1"/>
        <c:lblAlgn val="ctr"/>
        <c:lblOffset val="100"/>
        <c:noMultiLvlLbl val="0"/>
      </c:catAx>
      <c:valAx>
        <c:axId val="108444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39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[Calculation.XLSX]Light-Intra V01!PivotTable6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Speedup by Number of Cores</a:t>
            </a:r>
          </a:p>
        </c:rich>
      </c:tx>
      <c:layout>
        <c:manualLayout>
          <c:xMode val="edge"/>
          <c:yMode val="edge"/>
          <c:x val="0.28798734797344755"/>
          <c:y val="5.5423928124983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'Light-Intra V01'!$X$37:$X$38</c:f>
              <c:strCache>
                <c:ptCount val="1"/>
                <c:pt idx="0">
                  <c:v>20 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'Light-Intra V01'!$W$39:$W$43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V01'!$X$39:$X$43</c:f>
              <c:numCache>
                <c:formatCode>0.00</c:formatCode>
                <c:ptCount val="4"/>
                <c:pt idx="0">
                  <c:v>0.75895724344594517</c:v>
                </c:pt>
                <c:pt idx="1">
                  <c:v>0.65955765903829056</c:v>
                </c:pt>
                <c:pt idx="2">
                  <c:v>0.71213234132625669</c:v>
                </c:pt>
                <c:pt idx="3">
                  <c:v>0.63151240934193886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3-4106-BE49-38752711A02D}"/>
            </c:ext>
          </c:extLst>
        </c:ser>
        <c:ser>
          <c:idx val="1"/>
          <c:order val="1"/>
          <c:tx>
            <c:strRef>
              <c:f>'Light-Intra V01'!$Y$37:$Y$38</c:f>
              <c:strCache>
                <c:ptCount val="1"/>
                <c:pt idx="0">
                  <c:v>40 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'Light-Intra V01'!$W$39:$W$43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V01'!$Y$39:$Y$43</c:f>
              <c:numCache>
                <c:formatCode>0.00</c:formatCode>
                <c:ptCount val="4"/>
                <c:pt idx="0">
                  <c:v>0.66816310072214968</c:v>
                </c:pt>
                <c:pt idx="1">
                  <c:v>0.6357077421724957</c:v>
                </c:pt>
                <c:pt idx="2">
                  <c:v>0.67404874489056321</c:v>
                </c:pt>
                <c:pt idx="3">
                  <c:v>0.63347922492869535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D3-4106-BE49-38752711A02D}"/>
            </c:ext>
          </c:extLst>
        </c:ser>
        <c:ser>
          <c:idx val="2"/>
          <c:order val="2"/>
          <c:tx>
            <c:strRef>
              <c:f>'Light-Intra V01'!$Z$37:$Z$38</c:f>
              <c:strCache>
                <c:ptCount val="1"/>
                <c:pt idx="0">
                  <c:v>80 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'Light-Intra V01'!$W$39:$W$43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V01'!$Z$39:$Z$43</c:f>
              <c:numCache>
                <c:formatCode>0.00</c:formatCode>
                <c:ptCount val="4"/>
                <c:pt idx="0">
                  <c:v>0.25800687049222315</c:v>
                </c:pt>
                <c:pt idx="1">
                  <c:v>0.24066103746528458</c:v>
                </c:pt>
                <c:pt idx="2">
                  <c:v>0.25403710345663116</c:v>
                </c:pt>
                <c:pt idx="3">
                  <c:v>0.25510048182612954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D3-4106-BE49-38752711A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399487"/>
        <c:axId val="1414400927"/>
      </c:lineChart>
      <c:catAx>
        <c:axId val="141439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400927"/>
        <c:crosses val="autoZero"/>
        <c:auto val="1"/>
        <c:lblAlgn val="ctr"/>
        <c:lblOffset val="100"/>
        <c:noMultiLvlLbl val="0"/>
      </c:catAx>
      <c:valAx>
        <c:axId val="141440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99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[Calculation.XLSX]Light-Intra V01!PivotTable7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Efficiency</a:t>
            </a:r>
          </a:p>
        </c:rich>
      </c:tx>
      <c:layout>
        <c:manualLayout>
          <c:xMode val="edge"/>
          <c:yMode val="edge"/>
          <c:x val="0.47666329117436751"/>
          <c:y val="6.9774241039611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'Light-Intra V01'!$AJ$20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'Light-Intra V01'!$AI$21:$AI$27</c:f>
              <c:multiLvlStrCache>
                <c:ptCount val="3"/>
                <c:lvl>
                  <c:pt idx="0">
                    <c:v>20 k</c:v>
                  </c:pt>
                  <c:pt idx="1">
                    <c:v>40 k</c:v>
                  </c:pt>
                  <c:pt idx="2">
                    <c:v>80 k</c:v>
                  </c:pt>
                </c:lvl>
                <c:lvl>
                  <c:pt idx="0">
                    <c:v>Core 2</c:v>
                  </c:pt>
                  <c:pt idx="1">
                    <c:v>Core 4</c:v>
                  </c:pt>
                  <c:pt idx="2">
                    <c:v>Core 8</c:v>
                  </c:pt>
                </c:lvl>
              </c:multiLvlStrCache>
            </c:multiLvlStrRef>
          </c:cat>
          <c:val>
            <c:numRef>
              <c:f>'Light-Intra V01'!$AJ$21:$AJ$27</c:f>
              <c:numCache>
                <c:formatCode>0.00</c:formatCode>
                <c:ptCount val="3"/>
                <c:pt idx="0">
                  <c:v>0.63151240934193886</c:v>
                </c:pt>
                <c:pt idx="1">
                  <c:v>0.66278883871371341</c:v>
                </c:pt>
                <c:pt idx="2">
                  <c:v>0.7204701129165052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0-4C55-8D38-A002CCAF3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062047"/>
        <c:axId val="1562052927"/>
      </c:lineChart>
      <c:catAx>
        <c:axId val="15620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52927"/>
        <c:crosses val="autoZero"/>
        <c:auto val="1"/>
        <c:lblAlgn val="ctr"/>
        <c:lblOffset val="100"/>
        <c:noMultiLvlLbl val="0"/>
      </c:catAx>
      <c:valAx>
        <c:axId val="156205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62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[Calculation.XLSX]Light-Intra V01!PivotTable11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'Light-Intra V01'!$P$25:$P$26</c:f>
              <c:strCache>
                <c:ptCount val="1"/>
                <c:pt idx="0">
                  <c:v>Actual Speed 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'Light-Intra V01'!$O$27:$O$31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V01'!$P$27:$P$31</c:f>
              <c:numCache>
                <c:formatCode>0.00</c:formatCode>
                <c:ptCount val="4"/>
                <c:pt idx="0">
                  <c:v>0.95671906354515046</c:v>
                </c:pt>
                <c:pt idx="1">
                  <c:v>1.0510638977635782</c:v>
                </c:pt>
                <c:pt idx="2">
                  <c:v>1.1126169491525424</c:v>
                </c:pt>
                <c:pt idx="3">
                  <c:v>1.6324673366834173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F-4927-8299-633624EDD7E5}"/>
            </c:ext>
          </c:extLst>
        </c:ser>
        <c:ser>
          <c:idx val="1"/>
          <c:order val="1"/>
          <c:tx>
            <c:strRef>
              <c:f>'Light-Intra V01'!$Q$25:$Q$26</c:f>
              <c:strCache>
                <c:ptCount val="1"/>
                <c:pt idx="0">
                  <c:v>Amdals law Speed 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'Light-Intra V01'!$O$27:$O$31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V01'!$Q$27:$Q$31</c:f>
              <c:numCache>
                <c:formatCode>0.00</c:formatCode>
                <c:ptCount val="4"/>
                <c:pt idx="0">
                  <c:v>1</c:v>
                </c:pt>
                <c:pt idx="1">
                  <c:v>1.6666666666666665</c:v>
                </c:pt>
                <c:pt idx="2">
                  <c:v>2.5</c:v>
                </c:pt>
                <c:pt idx="3">
                  <c:v>3.333333333333333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0F-4927-8299-633624EDD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340575"/>
        <c:axId val="1302096831"/>
      </c:lineChart>
      <c:catAx>
        <c:axId val="108134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096831"/>
        <c:crosses val="autoZero"/>
        <c:auto val="1"/>
        <c:lblAlgn val="ctr"/>
        <c:lblOffset val="100"/>
        <c:noMultiLvlLbl val="0"/>
      </c:catAx>
      <c:valAx>
        <c:axId val="130209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4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[Calculation.XLSX]Fat-Intra 01 V02!PivotTable8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Speedup: Actual and Amdal's</a:t>
            </a:r>
            <a:r>
              <a:rPr lang="en-US" sz="1200" b="1" baseline="0"/>
              <a:t> law</a:t>
            </a:r>
            <a:endParaRPr lang="en-US" sz="1200" b="1"/>
          </a:p>
        </c:rich>
      </c:tx>
      <c:layout>
        <c:manualLayout>
          <c:xMode val="edge"/>
          <c:yMode val="edge"/>
          <c:x val="0.297436835775577"/>
          <c:y val="6.0504434110671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'Fat-Intra 01 V02'!$P$25:$P$26</c:f>
              <c:strCache>
                <c:ptCount val="1"/>
                <c:pt idx="0">
                  <c:v>Actual Speed 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'Fat-Intra 01 V02'!$O$27:$O$31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V02'!$P$27:$P$31</c:f>
              <c:numCache>
                <c:formatCode>0.00</c:formatCode>
                <c:ptCount val="4"/>
                <c:pt idx="0">
                  <c:v>0.90983314139046445</c:v>
                </c:pt>
                <c:pt idx="1">
                  <c:v>1.1746987951807228</c:v>
                </c:pt>
                <c:pt idx="2">
                  <c:v>1.5436241610738255</c:v>
                </c:pt>
                <c:pt idx="3">
                  <c:v>1.8390804597701149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6-486A-A256-BA38F40EFAC5}"/>
            </c:ext>
          </c:extLst>
        </c:ser>
        <c:ser>
          <c:idx val="1"/>
          <c:order val="1"/>
          <c:tx>
            <c:strRef>
              <c:f>'Fat-Intra 01 V02'!$Q$25:$Q$26</c:f>
              <c:strCache>
                <c:ptCount val="1"/>
                <c:pt idx="0">
                  <c:v>Amdals law Speed 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'Fat-Intra 01 V02'!$O$27:$O$31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V02'!$Q$27:$Q$31</c:f>
              <c:numCache>
                <c:formatCode>0.00</c:formatCode>
                <c:ptCount val="4"/>
                <c:pt idx="0">
                  <c:v>1</c:v>
                </c:pt>
                <c:pt idx="1">
                  <c:v>1.6</c:v>
                </c:pt>
                <c:pt idx="2">
                  <c:v>2.2857142857142856</c:v>
                </c:pt>
                <c:pt idx="3">
                  <c:v>2.9090909090909092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B6-486A-A256-BA38F40E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988495"/>
        <c:axId val="1666995215"/>
      </c:lineChart>
      <c:catAx>
        <c:axId val="166698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95215"/>
        <c:crosses val="autoZero"/>
        <c:auto val="1"/>
        <c:lblAlgn val="ctr"/>
        <c:lblOffset val="100"/>
        <c:noMultiLvlLbl val="0"/>
      </c:catAx>
      <c:valAx>
        <c:axId val="166699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0.18496460913384288"/>
              <c:y val="0.37170256249017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88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[Calculation.XLSX]Fat-Intra 01 V02!PivotTable9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Speedup by Number of Cores</a:t>
            </a:r>
          </a:p>
        </c:rich>
      </c:tx>
      <c:layout>
        <c:manualLayout>
          <c:xMode val="edge"/>
          <c:yMode val="edge"/>
          <c:x val="0.32227307797260696"/>
          <c:y val="6.0451813961654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'Fat-Intra 01 V02'!$X$37:$X$38</c:f>
              <c:strCache>
                <c:ptCount val="1"/>
                <c:pt idx="0">
                  <c:v>20 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'Fat-Intra 01 V02'!$W$39:$W$43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V02'!$X$39:$X$43</c:f>
              <c:numCache>
                <c:formatCode>0.00</c:formatCode>
                <c:ptCount val="4"/>
                <c:pt idx="0">
                  <c:v>1.0613197919813209</c:v>
                </c:pt>
                <c:pt idx="1">
                  <c:v>1.2380952380952381</c:v>
                </c:pt>
                <c:pt idx="2">
                  <c:v>1.2871287128712872</c:v>
                </c:pt>
                <c:pt idx="3">
                  <c:v>1.3978494623655913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3-4087-98BC-6E785ECED85D}"/>
            </c:ext>
          </c:extLst>
        </c:ser>
        <c:ser>
          <c:idx val="1"/>
          <c:order val="1"/>
          <c:tx>
            <c:strRef>
              <c:f>'Fat-Intra 01 V02'!$Y$37:$Y$38</c:f>
              <c:strCache>
                <c:ptCount val="1"/>
                <c:pt idx="0">
                  <c:v>40 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'Fat-Intra 01 V02'!$W$39:$W$43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V02'!$Y$39:$Y$43</c:f>
              <c:numCache>
                <c:formatCode>0.00</c:formatCode>
                <c:ptCount val="4"/>
                <c:pt idx="0">
                  <c:v>0.50280252550525673</c:v>
                </c:pt>
                <c:pt idx="1">
                  <c:v>0.6325301204819278</c:v>
                </c:pt>
                <c:pt idx="2">
                  <c:v>0.70469798657718119</c:v>
                </c:pt>
                <c:pt idx="3">
                  <c:v>0.80459770114942541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3-4087-98BC-6E785ECED85D}"/>
            </c:ext>
          </c:extLst>
        </c:ser>
        <c:ser>
          <c:idx val="2"/>
          <c:order val="2"/>
          <c:tx>
            <c:strRef>
              <c:f>'Fat-Intra 01 V02'!$Z$37:$Z$38</c:f>
              <c:strCache>
                <c:ptCount val="1"/>
                <c:pt idx="0">
                  <c:v>80 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'Fat-Intra 01 V02'!$W$39:$W$43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'Fat-Intra 01 V02'!$Z$39:$Z$43</c:f>
              <c:numCache>
                <c:formatCode>0.00</c:formatCode>
                <c:ptCount val="4"/>
                <c:pt idx="0">
                  <c:v>0.38461538461538464</c:v>
                </c:pt>
                <c:pt idx="1">
                  <c:v>0.44819858645061195</c:v>
                </c:pt>
                <c:pt idx="2">
                  <c:v>0.55437100213219614</c:v>
                </c:pt>
                <c:pt idx="3">
                  <c:v>0.6295399515738499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3-4087-98BC-6E785ECED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219983"/>
        <c:axId val="1193221903"/>
      </c:lineChart>
      <c:catAx>
        <c:axId val="11932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21903"/>
        <c:crosses val="autoZero"/>
        <c:auto val="1"/>
        <c:lblAlgn val="ctr"/>
        <c:lblOffset val="100"/>
        <c:noMultiLvlLbl val="0"/>
      </c:catAx>
      <c:valAx>
        <c:axId val="1193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19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[Calculation.XLSX]Fat-Intra 01 V02!PivotTable10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'Fat-Intra 01 V02'!$AJ$20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'Fat-Intra 01 V02'!$AI$21:$AI$27</c:f>
              <c:multiLvlStrCache>
                <c:ptCount val="3"/>
                <c:lvl>
                  <c:pt idx="0">
                    <c:v>Core 2</c:v>
                  </c:pt>
                  <c:pt idx="1">
                    <c:v>Core 4</c:v>
                  </c:pt>
                  <c:pt idx="2">
                    <c:v>Core 8</c:v>
                  </c:pt>
                </c:lvl>
                <c:lvl>
                  <c:pt idx="0">
                    <c:v>20 k</c:v>
                  </c:pt>
                  <c:pt idx="1">
                    <c:v>40 k</c:v>
                  </c:pt>
                  <c:pt idx="2">
                    <c:v>80 k</c:v>
                  </c:pt>
                </c:lvl>
              </c:multiLvlStrCache>
            </c:multiLvlStrRef>
          </c:cat>
          <c:val>
            <c:numRef>
              <c:f>'Fat-Intra 01 V02'!$AJ$21:$AJ$27</c:f>
              <c:numCache>
                <c:formatCode>0.00</c:formatCode>
                <c:ptCount val="3"/>
                <c:pt idx="0">
                  <c:v>1.3978494623655913</c:v>
                </c:pt>
                <c:pt idx="1">
                  <c:v>1.4559386973180077</c:v>
                </c:pt>
                <c:pt idx="2">
                  <c:v>1.6464891041162228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A-47BF-8A21-F72A52DD7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439743"/>
        <c:axId val="1084440223"/>
      </c:lineChart>
      <c:catAx>
        <c:axId val="10844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40223"/>
        <c:crosses val="autoZero"/>
        <c:auto val="1"/>
        <c:lblAlgn val="ctr"/>
        <c:lblOffset val="100"/>
        <c:noMultiLvlLbl val="0"/>
      </c:catAx>
      <c:valAx>
        <c:axId val="108444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39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[Calculation.XLSX]Light-Intra V02!PivotTable6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Speedup by Number of Cores</a:t>
            </a:r>
          </a:p>
        </c:rich>
      </c:tx>
      <c:layout>
        <c:manualLayout>
          <c:xMode val="edge"/>
          <c:yMode val="edge"/>
          <c:x val="0.28798734797344755"/>
          <c:y val="5.5423928124983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'Light-Intra V02'!$X$37:$X$38</c:f>
              <c:strCache>
                <c:ptCount val="1"/>
                <c:pt idx="0">
                  <c:v>20 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'Light-Intra V02'!$W$39:$W$43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V02'!$X$39:$X$43</c:f>
              <c:numCache>
                <c:formatCode>0.00</c:formatCode>
                <c:ptCount val="4"/>
                <c:pt idx="0">
                  <c:v>0.75895724344594517</c:v>
                </c:pt>
                <c:pt idx="1">
                  <c:v>0.65955765903829056</c:v>
                </c:pt>
                <c:pt idx="2">
                  <c:v>0.71213234132625669</c:v>
                </c:pt>
                <c:pt idx="3">
                  <c:v>0.63151240934193886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3-4DE1-8E4E-BE4EA72E6D55}"/>
            </c:ext>
          </c:extLst>
        </c:ser>
        <c:ser>
          <c:idx val="1"/>
          <c:order val="1"/>
          <c:tx>
            <c:strRef>
              <c:f>'Light-Intra V02'!$Y$37:$Y$38</c:f>
              <c:strCache>
                <c:ptCount val="1"/>
                <c:pt idx="0">
                  <c:v>40 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'Light-Intra V02'!$W$39:$W$43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V02'!$Y$39:$Y$43</c:f>
              <c:numCache>
                <c:formatCode>0.00</c:formatCode>
                <c:ptCount val="4"/>
                <c:pt idx="0">
                  <c:v>0.66816310072214968</c:v>
                </c:pt>
                <c:pt idx="1">
                  <c:v>0.6357077421724957</c:v>
                </c:pt>
                <c:pt idx="2">
                  <c:v>0.67404874489056321</c:v>
                </c:pt>
                <c:pt idx="3">
                  <c:v>0.63347922492869535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3-4DE1-8E4E-BE4EA72E6D55}"/>
            </c:ext>
          </c:extLst>
        </c:ser>
        <c:ser>
          <c:idx val="2"/>
          <c:order val="2"/>
          <c:tx>
            <c:strRef>
              <c:f>'Light-Intra V02'!$Z$37:$Z$38</c:f>
              <c:strCache>
                <c:ptCount val="1"/>
                <c:pt idx="0">
                  <c:v>80 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'Light-Intra V02'!$W$39:$W$43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V02'!$Z$39:$Z$43</c:f>
              <c:numCache>
                <c:formatCode>0.00</c:formatCode>
                <c:ptCount val="4"/>
                <c:pt idx="0">
                  <c:v>0.25800687049222315</c:v>
                </c:pt>
                <c:pt idx="1">
                  <c:v>0.24066103746528458</c:v>
                </c:pt>
                <c:pt idx="2">
                  <c:v>0.25403710345663116</c:v>
                </c:pt>
                <c:pt idx="3">
                  <c:v>0.25510048182612954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3-4DE1-8E4E-BE4EA72E6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399487"/>
        <c:axId val="1414400927"/>
      </c:lineChart>
      <c:catAx>
        <c:axId val="141439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400927"/>
        <c:crosses val="autoZero"/>
        <c:auto val="1"/>
        <c:lblAlgn val="ctr"/>
        <c:lblOffset val="100"/>
        <c:noMultiLvlLbl val="0"/>
      </c:catAx>
      <c:valAx>
        <c:axId val="141440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99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[Calculation.XLSX]Light-Intra V02!PivotTable7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Efficiency</a:t>
            </a:r>
          </a:p>
        </c:rich>
      </c:tx>
      <c:layout>
        <c:manualLayout>
          <c:xMode val="edge"/>
          <c:yMode val="edge"/>
          <c:x val="0.47666329117436751"/>
          <c:y val="6.9774241039611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'Light-Intra V02'!$AJ$20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'Light-Intra V02'!$AI$21:$AI$27</c:f>
              <c:multiLvlStrCache>
                <c:ptCount val="3"/>
                <c:lvl>
                  <c:pt idx="0">
                    <c:v>20 k</c:v>
                  </c:pt>
                  <c:pt idx="1">
                    <c:v>40 k</c:v>
                  </c:pt>
                  <c:pt idx="2">
                    <c:v>80 k</c:v>
                  </c:pt>
                </c:lvl>
                <c:lvl>
                  <c:pt idx="0">
                    <c:v>Core 2</c:v>
                  </c:pt>
                  <c:pt idx="1">
                    <c:v>Core 4</c:v>
                  </c:pt>
                  <c:pt idx="2">
                    <c:v>Core 8</c:v>
                  </c:pt>
                </c:lvl>
              </c:multiLvlStrCache>
            </c:multiLvlStrRef>
          </c:cat>
          <c:val>
            <c:numRef>
              <c:f>'Light-Intra V02'!$AJ$21:$AJ$27</c:f>
              <c:numCache>
                <c:formatCode>0.00</c:formatCode>
                <c:ptCount val="3"/>
                <c:pt idx="0">
                  <c:v>0.63151240934193886</c:v>
                </c:pt>
                <c:pt idx="1">
                  <c:v>0.66278883871371341</c:v>
                </c:pt>
                <c:pt idx="2">
                  <c:v>0.7204701129165052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A-4C94-B51A-466B4303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062047"/>
        <c:axId val="1562052927"/>
      </c:lineChart>
      <c:catAx>
        <c:axId val="15620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52927"/>
        <c:crosses val="autoZero"/>
        <c:auto val="1"/>
        <c:lblAlgn val="ctr"/>
        <c:lblOffset val="100"/>
        <c:noMultiLvlLbl val="0"/>
      </c:catAx>
      <c:valAx>
        <c:axId val="156205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62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[Calculation.XLSX]Light-Intra V02!PivotTable11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'Light-Intra V02'!$P$25:$P$26</c:f>
              <c:strCache>
                <c:ptCount val="1"/>
                <c:pt idx="0">
                  <c:v>Actual Speed 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'Light-Intra V02'!$O$27:$O$31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V02'!$P$27:$P$31</c:f>
              <c:numCache>
                <c:formatCode>0.00</c:formatCode>
                <c:ptCount val="4"/>
                <c:pt idx="0">
                  <c:v>0.95671906354515046</c:v>
                </c:pt>
                <c:pt idx="1">
                  <c:v>1.0510638977635782</c:v>
                </c:pt>
                <c:pt idx="2">
                  <c:v>1.1126169491525424</c:v>
                </c:pt>
                <c:pt idx="3">
                  <c:v>1.6324673366834173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D-41A4-A8EB-7615116698E7}"/>
            </c:ext>
          </c:extLst>
        </c:ser>
        <c:ser>
          <c:idx val="1"/>
          <c:order val="1"/>
          <c:tx>
            <c:strRef>
              <c:f>'Light-Intra V02'!$Q$25:$Q$26</c:f>
              <c:strCache>
                <c:ptCount val="1"/>
                <c:pt idx="0">
                  <c:v>Amdals law Speed 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'Light-Intra V02'!$O$27:$O$31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4</c:v>
                </c:pt>
                <c:pt idx="3">
                  <c:v>core 8</c:v>
                </c:pt>
              </c:strCache>
            </c:strRef>
          </c:cat>
          <c:val>
            <c:numRef>
              <c:f>'Light-Intra V02'!$Q$27:$Q$31</c:f>
              <c:numCache>
                <c:formatCode>0.00</c:formatCode>
                <c:ptCount val="4"/>
                <c:pt idx="0">
                  <c:v>1</c:v>
                </c:pt>
                <c:pt idx="1">
                  <c:v>1.6666666666666665</c:v>
                </c:pt>
                <c:pt idx="2">
                  <c:v>2.5</c:v>
                </c:pt>
                <c:pt idx="3">
                  <c:v>3.333333333333333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D-41A4-A8EB-761511669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340575"/>
        <c:axId val="1302096831"/>
      </c:lineChart>
      <c:catAx>
        <c:axId val="108134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096831"/>
        <c:crosses val="autoZero"/>
        <c:auto val="1"/>
        <c:lblAlgn val="ctr"/>
        <c:lblOffset val="100"/>
        <c:noMultiLvlLbl val="0"/>
      </c:catAx>
      <c:valAx>
        <c:axId val="130209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4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.png"/><Relationship Id="rId7" Type="http://schemas.openxmlformats.org/officeDocument/2006/relationships/chart" Target="../charts/chart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image" Target="../media/image3.png"/><Relationship Id="rId7" Type="http://schemas.openxmlformats.org/officeDocument/2006/relationships/chart" Target="../charts/chart10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image" Target="../media/image3.png"/><Relationship Id="rId7" Type="http://schemas.openxmlformats.org/officeDocument/2006/relationships/chart" Target="../charts/chart1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image" Target="../media/image3.png"/><Relationship Id="rId7" Type="http://schemas.openxmlformats.org/officeDocument/2006/relationships/chart" Target="../charts/chart1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image" Target="../media/image3.png"/><Relationship Id="rId7" Type="http://schemas.openxmlformats.org/officeDocument/2006/relationships/chart" Target="../charts/chart19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208429</xdr:colOff>
      <xdr:row>12</xdr:row>
      <xdr:rowOff>144555</xdr:rowOff>
    </xdr:from>
    <xdr:to>
      <xdr:col>22</xdr:col>
      <xdr:colOff>591670</xdr:colOff>
      <xdr:row>29</xdr:row>
      <xdr:rowOff>52891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E972D2-BB85-693F-FE19-C61882B7E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291354</xdr:colOff>
      <xdr:row>35</xdr:row>
      <xdr:rowOff>98612</xdr:rowOff>
    </xdr:from>
    <xdr:to>
      <xdr:col>33</xdr:col>
      <xdr:colOff>0</xdr:colOff>
      <xdr:row>50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DF458E-FF75-3775-2F5C-7BAB34853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80683</xdr:colOff>
      <xdr:row>2</xdr:row>
      <xdr:rowOff>26895</xdr:rowOff>
    </xdr:from>
    <xdr:to>
      <xdr:col>15</xdr:col>
      <xdr:colOff>648657</xdr:colOff>
      <xdr:row>5</xdr:row>
      <xdr:rowOff>44824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3D3984-4887-B1D9-CF20-450F5D8F9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21907" y="385483"/>
          <a:ext cx="1491338" cy="555812"/>
        </a:xfrm>
        <a:prstGeom prst="rect">
          <a:avLst/>
        </a:prstGeom>
      </xdr:spPr>
    </xdr:pic>
    <xdr:clientData/>
  </xdr:twoCellAnchor>
  <xdr:twoCellAnchor editAs="oneCell">
    <xdr:from>
      <xdr:col>24</xdr:col>
      <xdr:colOff>89647</xdr:colOff>
      <xdr:row>2</xdr:row>
      <xdr:rowOff>127121</xdr:rowOff>
    </xdr:from>
    <xdr:to>
      <xdr:col>24</xdr:col>
      <xdr:colOff>968188</xdr:colOff>
      <xdr:row>5</xdr:row>
      <xdr:rowOff>122870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0F05A8-D405-1243-71E9-38718A85B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04541" y="485709"/>
          <a:ext cx="878541" cy="533632"/>
        </a:xfrm>
        <a:prstGeom prst="rect">
          <a:avLst/>
        </a:prstGeom>
      </xdr:spPr>
    </xdr:pic>
    <xdr:clientData/>
  </xdr:twoCellAnchor>
  <xdr:twoCellAnchor editAs="oneCell">
    <xdr:from>
      <xdr:col>25</xdr:col>
      <xdr:colOff>125508</xdr:colOff>
      <xdr:row>2</xdr:row>
      <xdr:rowOff>171390</xdr:rowOff>
    </xdr:from>
    <xdr:to>
      <xdr:col>29</xdr:col>
      <xdr:colOff>89648</xdr:colOff>
      <xdr:row>5</xdr:row>
      <xdr:rowOff>92833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D8821CE-3EA2-7980-D3BF-80BFEF20B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60990" y="529978"/>
          <a:ext cx="2510117" cy="459326"/>
        </a:xfrm>
        <a:prstGeom prst="rect">
          <a:avLst/>
        </a:prstGeom>
      </xdr:spPr>
    </xdr:pic>
    <xdr:clientData/>
  </xdr:twoCellAnchor>
  <xdr:twoCellAnchor editAs="oneCell">
    <xdr:from>
      <xdr:col>15</xdr:col>
      <xdr:colOff>493058</xdr:colOff>
      <xdr:row>1</xdr:row>
      <xdr:rowOff>71717</xdr:rowOff>
    </xdr:from>
    <xdr:to>
      <xdr:col>18</xdr:col>
      <xdr:colOff>116540</xdr:colOff>
      <xdr:row>5</xdr:row>
      <xdr:rowOff>46739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5F4C42-B4AD-5F23-6509-FD837B09D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87952" y="251011"/>
          <a:ext cx="2788023" cy="692199"/>
        </a:xfrm>
        <a:prstGeom prst="rect">
          <a:avLst/>
        </a:prstGeom>
      </xdr:spPr>
    </xdr:pic>
    <xdr:clientData/>
  </xdr:twoCellAnchor>
  <xdr:twoCellAnchor editAs="oneCell">
    <xdr:from>
      <xdr:col>34</xdr:col>
      <xdr:colOff>143436</xdr:colOff>
      <xdr:row>2</xdr:row>
      <xdr:rowOff>116543</xdr:rowOff>
    </xdr:from>
    <xdr:to>
      <xdr:col>35</xdr:col>
      <xdr:colOff>636495</xdr:colOff>
      <xdr:row>5</xdr:row>
      <xdr:rowOff>10878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4098C59-CA69-A09B-856B-A2C60B8E6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201224" y="475131"/>
          <a:ext cx="1416424" cy="432218"/>
        </a:xfrm>
        <a:prstGeom prst="rect">
          <a:avLst/>
        </a:prstGeom>
      </xdr:spPr>
    </xdr:pic>
    <xdr:clientData/>
  </xdr:twoCellAnchor>
  <xdr:twoCellAnchor editAs="oneCell">
    <xdr:from>
      <xdr:col>35</xdr:col>
      <xdr:colOff>726140</xdr:colOff>
      <xdr:row>2</xdr:row>
      <xdr:rowOff>139411</xdr:rowOff>
    </xdr:from>
    <xdr:to>
      <xdr:col>44</xdr:col>
      <xdr:colOff>239887</xdr:colOff>
      <xdr:row>5</xdr:row>
      <xdr:rowOff>117037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1C86072-5E2F-6C5B-EDC3-40FB2D9C9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886587" y="497999"/>
          <a:ext cx="5663535" cy="515509"/>
        </a:xfrm>
        <a:prstGeom prst="rect">
          <a:avLst/>
        </a:prstGeom>
      </xdr:spPr>
    </xdr:pic>
    <xdr:clientData/>
  </xdr:twoCellAnchor>
  <xdr:twoCellAnchor>
    <xdr:from>
      <xdr:col>38</xdr:col>
      <xdr:colOff>722557</xdr:colOff>
      <xdr:row>19</xdr:row>
      <xdr:rowOff>44823</xdr:rowOff>
    </xdr:from>
    <xdr:to>
      <xdr:col>45</xdr:col>
      <xdr:colOff>121024</xdr:colOff>
      <xdr:row>31</xdr:row>
      <xdr:rowOff>17928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C0AA6DD-8C11-C7DC-9801-3DAD797C2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80683</xdr:colOff>
      <xdr:row>2</xdr:row>
      <xdr:rowOff>26895</xdr:rowOff>
    </xdr:from>
    <xdr:to>
      <xdr:col>15</xdr:col>
      <xdr:colOff>648657</xdr:colOff>
      <xdr:row>5</xdr:row>
      <xdr:rowOff>44824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403A95-EF8A-45F1-9115-BC5993D2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2803" y="392655"/>
          <a:ext cx="1494028" cy="566569"/>
        </a:xfrm>
        <a:prstGeom prst="rect">
          <a:avLst/>
        </a:prstGeom>
      </xdr:spPr>
    </xdr:pic>
    <xdr:clientData/>
  </xdr:twoCellAnchor>
  <xdr:twoCellAnchor editAs="oneCell">
    <xdr:from>
      <xdr:col>22</xdr:col>
      <xdr:colOff>89647</xdr:colOff>
      <xdr:row>2</xdr:row>
      <xdr:rowOff>127121</xdr:rowOff>
    </xdr:from>
    <xdr:to>
      <xdr:col>22</xdr:col>
      <xdr:colOff>968188</xdr:colOff>
      <xdr:row>5</xdr:row>
      <xdr:rowOff>122870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32F667-AB95-45F8-AF3B-81CB6B3B1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92887" y="492881"/>
          <a:ext cx="878541" cy="544389"/>
        </a:xfrm>
        <a:prstGeom prst="rect">
          <a:avLst/>
        </a:prstGeom>
      </xdr:spPr>
    </xdr:pic>
    <xdr:clientData/>
  </xdr:twoCellAnchor>
  <xdr:twoCellAnchor editAs="oneCell">
    <xdr:from>
      <xdr:col>23</xdr:col>
      <xdr:colOff>125508</xdr:colOff>
      <xdr:row>2</xdr:row>
      <xdr:rowOff>171390</xdr:rowOff>
    </xdr:from>
    <xdr:to>
      <xdr:col>27</xdr:col>
      <xdr:colOff>564778</xdr:colOff>
      <xdr:row>5</xdr:row>
      <xdr:rowOff>92833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5977F1-E11A-4F26-AFB9-31F504A40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48888" y="537150"/>
          <a:ext cx="2511013" cy="470083"/>
        </a:xfrm>
        <a:prstGeom prst="rect">
          <a:avLst/>
        </a:prstGeom>
      </xdr:spPr>
    </xdr:pic>
    <xdr:clientData/>
  </xdr:twoCellAnchor>
  <xdr:twoCellAnchor editAs="oneCell">
    <xdr:from>
      <xdr:col>15</xdr:col>
      <xdr:colOff>493058</xdr:colOff>
      <xdr:row>1</xdr:row>
      <xdr:rowOff>71717</xdr:rowOff>
    </xdr:from>
    <xdr:to>
      <xdr:col>17</xdr:col>
      <xdr:colOff>753034</xdr:colOff>
      <xdr:row>5</xdr:row>
      <xdr:rowOff>46739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4D9C92-6460-484F-A784-9FF6BD04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91538" y="254597"/>
          <a:ext cx="2783092" cy="706542"/>
        </a:xfrm>
        <a:prstGeom prst="rect">
          <a:avLst/>
        </a:prstGeom>
      </xdr:spPr>
    </xdr:pic>
    <xdr:clientData/>
  </xdr:twoCellAnchor>
  <xdr:twoCellAnchor editAs="oneCell">
    <xdr:from>
      <xdr:col>34</xdr:col>
      <xdr:colOff>143436</xdr:colOff>
      <xdr:row>2</xdr:row>
      <xdr:rowOff>116543</xdr:rowOff>
    </xdr:from>
    <xdr:to>
      <xdr:col>35</xdr:col>
      <xdr:colOff>636495</xdr:colOff>
      <xdr:row>5</xdr:row>
      <xdr:rowOff>10878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7F2647-A4EA-4E6A-8561-1FEE23ECD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148716" y="482303"/>
          <a:ext cx="1415080" cy="442975"/>
        </a:xfrm>
        <a:prstGeom prst="rect">
          <a:avLst/>
        </a:prstGeom>
      </xdr:spPr>
    </xdr:pic>
    <xdr:clientData/>
  </xdr:twoCellAnchor>
  <xdr:twoCellAnchor editAs="oneCell">
    <xdr:from>
      <xdr:col>35</xdr:col>
      <xdr:colOff>726140</xdr:colOff>
      <xdr:row>2</xdr:row>
      <xdr:rowOff>139411</xdr:rowOff>
    </xdr:from>
    <xdr:to>
      <xdr:col>44</xdr:col>
      <xdr:colOff>284710</xdr:colOff>
      <xdr:row>5</xdr:row>
      <xdr:rowOff>117037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F8A647-C1CC-4A7C-B152-22A6214F1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653440" y="505171"/>
          <a:ext cx="5647847" cy="526266"/>
        </a:xfrm>
        <a:prstGeom prst="rect">
          <a:avLst/>
        </a:prstGeom>
      </xdr:spPr>
    </xdr:pic>
    <xdr:clientData/>
  </xdr:twoCellAnchor>
  <xdr:twoCellAnchor>
    <xdr:from>
      <xdr:col>14</xdr:col>
      <xdr:colOff>121025</xdr:colOff>
      <xdr:row>40</xdr:row>
      <xdr:rowOff>17930</xdr:rowOff>
    </xdr:from>
    <xdr:to>
      <xdr:col>19</xdr:col>
      <xdr:colOff>107576</xdr:colOff>
      <xdr:row>55</xdr:row>
      <xdr:rowOff>71718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D49DC7-5F89-3C25-959D-F7D6B2A09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13449</xdr:colOff>
      <xdr:row>45</xdr:row>
      <xdr:rowOff>107577</xdr:rowOff>
    </xdr:from>
    <xdr:to>
      <xdr:col>31</xdr:col>
      <xdr:colOff>152400</xdr:colOff>
      <xdr:row>60</xdr:row>
      <xdr:rowOff>161365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6DAF17-79A4-DC59-3D3A-1E518593F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676837</xdr:colOff>
      <xdr:row>29</xdr:row>
      <xdr:rowOff>107576</xdr:rowOff>
    </xdr:from>
    <xdr:to>
      <xdr:col>39</xdr:col>
      <xdr:colOff>694766</xdr:colOff>
      <xdr:row>44</xdr:row>
      <xdr:rowOff>161364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5138030-C6C2-687F-A7A9-5C492D018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80683</xdr:colOff>
      <xdr:row>2</xdr:row>
      <xdr:rowOff>26895</xdr:rowOff>
    </xdr:from>
    <xdr:to>
      <xdr:col>15</xdr:col>
      <xdr:colOff>648657</xdr:colOff>
      <xdr:row>5</xdr:row>
      <xdr:rowOff>44824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72FD9-CF13-47B6-B338-AF7C0AC2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2803" y="392655"/>
          <a:ext cx="1491338" cy="566569"/>
        </a:xfrm>
        <a:prstGeom prst="rect">
          <a:avLst/>
        </a:prstGeom>
      </xdr:spPr>
    </xdr:pic>
    <xdr:clientData/>
  </xdr:twoCellAnchor>
  <xdr:twoCellAnchor editAs="oneCell">
    <xdr:from>
      <xdr:col>22</xdr:col>
      <xdr:colOff>89647</xdr:colOff>
      <xdr:row>2</xdr:row>
      <xdr:rowOff>127121</xdr:rowOff>
    </xdr:from>
    <xdr:to>
      <xdr:col>22</xdr:col>
      <xdr:colOff>968188</xdr:colOff>
      <xdr:row>5</xdr:row>
      <xdr:rowOff>122870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8AE35E-4639-4E28-9592-E7D25E219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11887" y="492881"/>
          <a:ext cx="878541" cy="544389"/>
        </a:xfrm>
        <a:prstGeom prst="rect">
          <a:avLst/>
        </a:prstGeom>
      </xdr:spPr>
    </xdr:pic>
    <xdr:clientData/>
  </xdr:twoCellAnchor>
  <xdr:twoCellAnchor editAs="oneCell">
    <xdr:from>
      <xdr:col>23</xdr:col>
      <xdr:colOff>125508</xdr:colOff>
      <xdr:row>2</xdr:row>
      <xdr:rowOff>171390</xdr:rowOff>
    </xdr:from>
    <xdr:to>
      <xdr:col>27</xdr:col>
      <xdr:colOff>89648</xdr:colOff>
      <xdr:row>5</xdr:row>
      <xdr:rowOff>92833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128494-F53A-46E9-97D8-0541D8796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67888" y="537150"/>
          <a:ext cx="2504290" cy="470083"/>
        </a:xfrm>
        <a:prstGeom prst="rect">
          <a:avLst/>
        </a:prstGeom>
      </xdr:spPr>
    </xdr:pic>
    <xdr:clientData/>
  </xdr:twoCellAnchor>
  <xdr:twoCellAnchor editAs="oneCell">
    <xdr:from>
      <xdr:col>15</xdr:col>
      <xdr:colOff>493058</xdr:colOff>
      <xdr:row>1</xdr:row>
      <xdr:rowOff>71717</xdr:rowOff>
    </xdr:from>
    <xdr:to>
      <xdr:col>17</xdr:col>
      <xdr:colOff>753034</xdr:colOff>
      <xdr:row>5</xdr:row>
      <xdr:rowOff>46739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1B4737-4BEA-425A-AC98-11EE44F0B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13558" y="254597"/>
          <a:ext cx="2788471" cy="706542"/>
        </a:xfrm>
        <a:prstGeom prst="rect">
          <a:avLst/>
        </a:prstGeom>
      </xdr:spPr>
    </xdr:pic>
    <xdr:clientData/>
  </xdr:twoCellAnchor>
  <xdr:twoCellAnchor editAs="oneCell">
    <xdr:from>
      <xdr:col>34</xdr:col>
      <xdr:colOff>143436</xdr:colOff>
      <xdr:row>2</xdr:row>
      <xdr:rowOff>116543</xdr:rowOff>
    </xdr:from>
    <xdr:to>
      <xdr:col>35</xdr:col>
      <xdr:colOff>636496</xdr:colOff>
      <xdr:row>5</xdr:row>
      <xdr:rowOff>10878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BC19F6-E8FB-4BD4-921B-86C3212B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106556" y="482303"/>
          <a:ext cx="1415080" cy="442975"/>
        </a:xfrm>
        <a:prstGeom prst="rect">
          <a:avLst/>
        </a:prstGeom>
      </xdr:spPr>
    </xdr:pic>
    <xdr:clientData/>
  </xdr:twoCellAnchor>
  <xdr:twoCellAnchor editAs="oneCell">
    <xdr:from>
      <xdr:col>35</xdr:col>
      <xdr:colOff>726140</xdr:colOff>
      <xdr:row>2</xdr:row>
      <xdr:rowOff>139411</xdr:rowOff>
    </xdr:from>
    <xdr:to>
      <xdr:col>45</xdr:col>
      <xdr:colOff>437110</xdr:colOff>
      <xdr:row>5</xdr:row>
      <xdr:rowOff>117037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3E9966-0B04-456B-9976-F71C74EB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11280" y="505171"/>
          <a:ext cx="5650536" cy="526266"/>
        </a:xfrm>
        <a:prstGeom prst="rect">
          <a:avLst/>
        </a:prstGeom>
      </xdr:spPr>
    </xdr:pic>
    <xdr:clientData/>
  </xdr:twoCellAnchor>
  <xdr:twoCellAnchor>
    <xdr:from>
      <xdr:col>14</xdr:col>
      <xdr:colOff>76201</xdr:colOff>
      <xdr:row>32</xdr:row>
      <xdr:rowOff>53789</xdr:rowOff>
    </xdr:from>
    <xdr:to>
      <xdr:col>18</xdr:col>
      <xdr:colOff>228601</xdr:colOff>
      <xdr:row>47</xdr:row>
      <xdr:rowOff>107577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365DA89-2FA0-9D1F-6BD9-51CCDB46B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766481</xdr:colOff>
      <xdr:row>46</xdr:row>
      <xdr:rowOff>0</xdr:rowOff>
    </xdr:from>
    <xdr:to>
      <xdr:col>30</xdr:col>
      <xdr:colOff>708211</xdr:colOff>
      <xdr:row>63</xdr:row>
      <xdr:rowOff>98612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D6BBADD-8832-08A4-27F6-A5F515F92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667870</xdr:colOff>
      <xdr:row>28</xdr:row>
      <xdr:rowOff>44825</xdr:rowOff>
    </xdr:from>
    <xdr:to>
      <xdr:col>40</xdr:col>
      <xdr:colOff>291801</xdr:colOff>
      <xdr:row>43</xdr:row>
      <xdr:rowOff>98613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61BB8C3-AA83-C5CB-D591-33EC9ED4B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80683</xdr:colOff>
      <xdr:row>2</xdr:row>
      <xdr:rowOff>26895</xdr:rowOff>
    </xdr:from>
    <xdr:to>
      <xdr:col>15</xdr:col>
      <xdr:colOff>648657</xdr:colOff>
      <xdr:row>5</xdr:row>
      <xdr:rowOff>44824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8F6666-752D-4726-8A6C-26144829B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2803" y="392655"/>
          <a:ext cx="1489994" cy="566569"/>
        </a:xfrm>
        <a:prstGeom prst="rect">
          <a:avLst/>
        </a:prstGeom>
      </xdr:spPr>
    </xdr:pic>
    <xdr:clientData/>
  </xdr:twoCellAnchor>
  <xdr:twoCellAnchor editAs="oneCell">
    <xdr:from>
      <xdr:col>22</xdr:col>
      <xdr:colOff>89647</xdr:colOff>
      <xdr:row>2</xdr:row>
      <xdr:rowOff>127121</xdr:rowOff>
    </xdr:from>
    <xdr:to>
      <xdr:col>22</xdr:col>
      <xdr:colOff>968188</xdr:colOff>
      <xdr:row>5</xdr:row>
      <xdr:rowOff>122870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6BE1FD-E46C-4146-8338-DF2B271A4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7407" y="492881"/>
          <a:ext cx="878541" cy="544389"/>
        </a:xfrm>
        <a:prstGeom prst="rect">
          <a:avLst/>
        </a:prstGeom>
      </xdr:spPr>
    </xdr:pic>
    <xdr:clientData/>
  </xdr:twoCellAnchor>
  <xdr:twoCellAnchor editAs="oneCell">
    <xdr:from>
      <xdr:col>23</xdr:col>
      <xdr:colOff>125508</xdr:colOff>
      <xdr:row>2</xdr:row>
      <xdr:rowOff>171390</xdr:rowOff>
    </xdr:from>
    <xdr:to>
      <xdr:col>27</xdr:col>
      <xdr:colOff>89648</xdr:colOff>
      <xdr:row>5</xdr:row>
      <xdr:rowOff>92833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769879-F296-4331-80BA-E82E671F1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13408" y="537150"/>
          <a:ext cx="2504290" cy="470083"/>
        </a:xfrm>
        <a:prstGeom prst="rect">
          <a:avLst/>
        </a:prstGeom>
      </xdr:spPr>
    </xdr:pic>
    <xdr:clientData/>
  </xdr:twoCellAnchor>
  <xdr:twoCellAnchor editAs="oneCell">
    <xdr:from>
      <xdr:col>15</xdr:col>
      <xdr:colOff>806823</xdr:colOff>
      <xdr:row>1</xdr:row>
      <xdr:rowOff>134470</xdr:rowOff>
    </xdr:from>
    <xdr:to>
      <xdr:col>18</xdr:col>
      <xdr:colOff>277905</xdr:colOff>
      <xdr:row>5</xdr:row>
      <xdr:rowOff>109492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32814C-1F95-4703-944D-5BBDFC7F4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71411" y="313764"/>
          <a:ext cx="2788023" cy="692199"/>
        </a:xfrm>
        <a:prstGeom prst="rect">
          <a:avLst/>
        </a:prstGeom>
      </xdr:spPr>
    </xdr:pic>
    <xdr:clientData/>
  </xdr:twoCellAnchor>
  <xdr:twoCellAnchor editAs="oneCell">
    <xdr:from>
      <xdr:col>34</xdr:col>
      <xdr:colOff>143436</xdr:colOff>
      <xdr:row>2</xdr:row>
      <xdr:rowOff>116543</xdr:rowOff>
    </xdr:from>
    <xdr:to>
      <xdr:col>35</xdr:col>
      <xdr:colOff>636495</xdr:colOff>
      <xdr:row>5</xdr:row>
      <xdr:rowOff>10878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44CBE6-9893-429F-B12B-7B8C6BFE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552076" y="482303"/>
          <a:ext cx="1415079" cy="442975"/>
        </a:xfrm>
        <a:prstGeom prst="rect">
          <a:avLst/>
        </a:prstGeom>
      </xdr:spPr>
    </xdr:pic>
    <xdr:clientData/>
  </xdr:twoCellAnchor>
  <xdr:twoCellAnchor editAs="oneCell">
    <xdr:from>
      <xdr:col>35</xdr:col>
      <xdr:colOff>726140</xdr:colOff>
      <xdr:row>2</xdr:row>
      <xdr:rowOff>139411</xdr:rowOff>
    </xdr:from>
    <xdr:to>
      <xdr:col>44</xdr:col>
      <xdr:colOff>284710</xdr:colOff>
      <xdr:row>5</xdr:row>
      <xdr:rowOff>117037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26E7E1-C162-4924-ABE8-9274F96F2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056800" y="505171"/>
          <a:ext cx="5646950" cy="526266"/>
        </a:xfrm>
        <a:prstGeom prst="rect">
          <a:avLst/>
        </a:prstGeom>
      </xdr:spPr>
    </xdr:pic>
    <xdr:clientData/>
  </xdr:twoCellAnchor>
  <xdr:twoCellAnchor>
    <xdr:from>
      <xdr:col>14</xdr:col>
      <xdr:colOff>466835</xdr:colOff>
      <xdr:row>34</xdr:row>
      <xdr:rowOff>37765</xdr:rowOff>
    </xdr:from>
    <xdr:to>
      <xdr:col>20</xdr:col>
      <xdr:colOff>254821</xdr:colOff>
      <xdr:row>49</xdr:row>
      <xdr:rowOff>106233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2B47D79-578E-0BAD-09D8-B8EA2FCFD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735778</xdr:colOff>
      <xdr:row>46</xdr:row>
      <xdr:rowOff>170329</xdr:rowOff>
    </xdr:from>
    <xdr:to>
      <xdr:col>30</xdr:col>
      <xdr:colOff>461682</xdr:colOff>
      <xdr:row>64</xdr:row>
      <xdr:rowOff>96707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BEBE1A7-268C-9F5E-AF9E-5F6090B05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67235</xdr:colOff>
      <xdr:row>18</xdr:row>
      <xdr:rowOff>125507</xdr:rowOff>
    </xdr:from>
    <xdr:to>
      <xdr:col>45</xdr:col>
      <xdr:colOff>461682</xdr:colOff>
      <xdr:row>34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4510497-3E72-8339-5935-B8666A6B3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80683</xdr:colOff>
      <xdr:row>2</xdr:row>
      <xdr:rowOff>26895</xdr:rowOff>
    </xdr:from>
    <xdr:to>
      <xdr:col>15</xdr:col>
      <xdr:colOff>648657</xdr:colOff>
      <xdr:row>5</xdr:row>
      <xdr:rowOff>44824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9100E-F74F-43E8-B1B6-8921C1EF4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2803" y="392655"/>
          <a:ext cx="1489994" cy="566569"/>
        </a:xfrm>
        <a:prstGeom prst="rect">
          <a:avLst/>
        </a:prstGeom>
      </xdr:spPr>
    </xdr:pic>
    <xdr:clientData/>
  </xdr:twoCellAnchor>
  <xdr:twoCellAnchor editAs="oneCell">
    <xdr:from>
      <xdr:col>22</xdr:col>
      <xdr:colOff>89647</xdr:colOff>
      <xdr:row>2</xdr:row>
      <xdr:rowOff>127121</xdr:rowOff>
    </xdr:from>
    <xdr:to>
      <xdr:col>22</xdr:col>
      <xdr:colOff>968188</xdr:colOff>
      <xdr:row>5</xdr:row>
      <xdr:rowOff>122870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987C4C-09A3-45FF-AFCC-8AC4AEBC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9727" y="492881"/>
          <a:ext cx="878541" cy="544389"/>
        </a:xfrm>
        <a:prstGeom prst="rect">
          <a:avLst/>
        </a:prstGeom>
      </xdr:spPr>
    </xdr:pic>
    <xdr:clientData/>
  </xdr:twoCellAnchor>
  <xdr:twoCellAnchor editAs="oneCell">
    <xdr:from>
      <xdr:col>23</xdr:col>
      <xdr:colOff>125508</xdr:colOff>
      <xdr:row>2</xdr:row>
      <xdr:rowOff>171390</xdr:rowOff>
    </xdr:from>
    <xdr:to>
      <xdr:col>27</xdr:col>
      <xdr:colOff>89648</xdr:colOff>
      <xdr:row>5</xdr:row>
      <xdr:rowOff>92833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CEE988-4C7D-4D15-A0B8-F6FD751FC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25728" y="537150"/>
          <a:ext cx="2501600" cy="470083"/>
        </a:xfrm>
        <a:prstGeom prst="rect">
          <a:avLst/>
        </a:prstGeom>
      </xdr:spPr>
    </xdr:pic>
    <xdr:clientData/>
  </xdr:twoCellAnchor>
  <xdr:twoCellAnchor editAs="oneCell">
    <xdr:from>
      <xdr:col>15</xdr:col>
      <xdr:colOff>493058</xdr:colOff>
      <xdr:row>1</xdr:row>
      <xdr:rowOff>71717</xdr:rowOff>
    </xdr:from>
    <xdr:to>
      <xdr:col>17</xdr:col>
      <xdr:colOff>753034</xdr:colOff>
      <xdr:row>5</xdr:row>
      <xdr:rowOff>46739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873357-6BA5-409B-8420-7D7FCF6EC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57198" y="254597"/>
          <a:ext cx="2782196" cy="706542"/>
        </a:xfrm>
        <a:prstGeom prst="rect">
          <a:avLst/>
        </a:prstGeom>
      </xdr:spPr>
    </xdr:pic>
    <xdr:clientData/>
  </xdr:twoCellAnchor>
  <xdr:twoCellAnchor editAs="oneCell">
    <xdr:from>
      <xdr:col>34</xdr:col>
      <xdr:colOff>143436</xdr:colOff>
      <xdr:row>2</xdr:row>
      <xdr:rowOff>116543</xdr:rowOff>
    </xdr:from>
    <xdr:to>
      <xdr:col>35</xdr:col>
      <xdr:colOff>636496</xdr:colOff>
      <xdr:row>5</xdr:row>
      <xdr:rowOff>10878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EB754F-F81B-4A17-AC80-535359A05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73896" y="482303"/>
          <a:ext cx="1415080" cy="442975"/>
        </a:xfrm>
        <a:prstGeom prst="rect">
          <a:avLst/>
        </a:prstGeom>
      </xdr:spPr>
    </xdr:pic>
    <xdr:clientData/>
  </xdr:twoCellAnchor>
  <xdr:twoCellAnchor editAs="oneCell">
    <xdr:from>
      <xdr:col>35</xdr:col>
      <xdr:colOff>726140</xdr:colOff>
      <xdr:row>2</xdr:row>
      <xdr:rowOff>139411</xdr:rowOff>
    </xdr:from>
    <xdr:to>
      <xdr:col>45</xdr:col>
      <xdr:colOff>437110</xdr:colOff>
      <xdr:row>5</xdr:row>
      <xdr:rowOff>117037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16E9F1-4F2D-4545-B18B-D860B695E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78620" y="505171"/>
          <a:ext cx="5646950" cy="526266"/>
        </a:xfrm>
        <a:prstGeom prst="rect">
          <a:avLst/>
        </a:prstGeom>
      </xdr:spPr>
    </xdr:pic>
    <xdr:clientData/>
  </xdr:twoCellAnchor>
  <xdr:twoCellAnchor>
    <xdr:from>
      <xdr:col>22</xdr:col>
      <xdr:colOff>766480</xdr:colOff>
      <xdr:row>46</xdr:row>
      <xdr:rowOff>0</xdr:rowOff>
    </xdr:from>
    <xdr:to>
      <xdr:col>31</xdr:col>
      <xdr:colOff>448235</xdr:colOff>
      <xdr:row>62</xdr:row>
      <xdr:rowOff>143435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B4A8DD-2379-4D5C-A573-FAD080B65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667869</xdr:colOff>
      <xdr:row>28</xdr:row>
      <xdr:rowOff>44825</xdr:rowOff>
    </xdr:from>
    <xdr:to>
      <xdr:col>41</xdr:col>
      <xdr:colOff>717175</xdr:colOff>
      <xdr:row>43</xdr:row>
      <xdr:rowOff>98613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FDAD60-1FA2-45AC-9CFB-EB3C96712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811305</xdr:colOff>
      <xdr:row>36</xdr:row>
      <xdr:rowOff>71717</xdr:rowOff>
    </xdr:from>
    <xdr:to>
      <xdr:col>19</xdr:col>
      <xdr:colOff>712694</xdr:colOff>
      <xdr:row>51</xdr:row>
      <xdr:rowOff>125505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20AFF2-FDDB-E425-F6DE-F59C31EF7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80683</xdr:colOff>
      <xdr:row>2</xdr:row>
      <xdr:rowOff>26895</xdr:rowOff>
    </xdr:from>
    <xdr:to>
      <xdr:col>15</xdr:col>
      <xdr:colOff>648657</xdr:colOff>
      <xdr:row>5</xdr:row>
      <xdr:rowOff>44824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676E7-B352-4305-A368-43655A6BF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2803" y="392655"/>
          <a:ext cx="1489994" cy="566569"/>
        </a:xfrm>
        <a:prstGeom prst="rect">
          <a:avLst/>
        </a:prstGeom>
      </xdr:spPr>
    </xdr:pic>
    <xdr:clientData/>
  </xdr:twoCellAnchor>
  <xdr:twoCellAnchor editAs="oneCell">
    <xdr:from>
      <xdr:col>22</xdr:col>
      <xdr:colOff>89647</xdr:colOff>
      <xdr:row>2</xdr:row>
      <xdr:rowOff>127121</xdr:rowOff>
    </xdr:from>
    <xdr:to>
      <xdr:col>22</xdr:col>
      <xdr:colOff>968188</xdr:colOff>
      <xdr:row>5</xdr:row>
      <xdr:rowOff>122870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99DEC0-FAA9-4E4D-B0C3-DBAB6DADF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2107" y="492881"/>
          <a:ext cx="878541" cy="544389"/>
        </a:xfrm>
        <a:prstGeom prst="rect">
          <a:avLst/>
        </a:prstGeom>
      </xdr:spPr>
    </xdr:pic>
    <xdr:clientData/>
  </xdr:twoCellAnchor>
  <xdr:twoCellAnchor editAs="oneCell">
    <xdr:from>
      <xdr:col>23</xdr:col>
      <xdr:colOff>125508</xdr:colOff>
      <xdr:row>2</xdr:row>
      <xdr:rowOff>171390</xdr:rowOff>
    </xdr:from>
    <xdr:to>
      <xdr:col>27</xdr:col>
      <xdr:colOff>89648</xdr:colOff>
      <xdr:row>5</xdr:row>
      <xdr:rowOff>92833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F95069-E37C-4192-9380-FE0BD1CAE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18108" y="537150"/>
          <a:ext cx="2501600" cy="470083"/>
        </a:xfrm>
        <a:prstGeom prst="rect">
          <a:avLst/>
        </a:prstGeom>
      </xdr:spPr>
    </xdr:pic>
    <xdr:clientData/>
  </xdr:twoCellAnchor>
  <xdr:twoCellAnchor editAs="oneCell">
    <xdr:from>
      <xdr:col>15</xdr:col>
      <xdr:colOff>806823</xdr:colOff>
      <xdr:row>1</xdr:row>
      <xdr:rowOff>134470</xdr:rowOff>
    </xdr:from>
    <xdr:to>
      <xdr:col>18</xdr:col>
      <xdr:colOff>277905</xdr:colOff>
      <xdr:row>5</xdr:row>
      <xdr:rowOff>109492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F282C4-4113-464C-8BA3-7FC92A81F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70963" y="317350"/>
          <a:ext cx="2778162" cy="706542"/>
        </a:xfrm>
        <a:prstGeom prst="rect">
          <a:avLst/>
        </a:prstGeom>
      </xdr:spPr>
    </xdr:pic>
    <xdr:clientData/>
  </xdr:twoCellAnchor>
  <xdr:twoCellAnchor editAs="oneCell">
    <xdr:from>
      <xdr:col>34</xdr:col>
      <xdr:colOff>143436</xdr:colOff>
      <xdr:row>2</xdr:row>
      <xdr:rowOff>116543</xdr:rowOff>
    </xdr:from>
    <xdr:to>
      <xdr:col>35</xdr:col>
      <xdr:colOff>636495</xdr:colOff>
      <xdr:row>5</xdr:row>
      <xdr:rowOff>10878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94A75B-F329-478B-8A09-BB3A6A63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689236" y="482303"/>
          <a:ext cx="1415079" cy="442975"/>
        </a:xfrm>
        <a:prstGeom prst="rect">
          <a:avLst/>
        </a:prstGeom>
      </xdr:spPr>
    </xdr:pic>
    <xdr:clientData/>
  </xdr:twoCellAnchor>
  <xdr:twoCellAnchor editAs="oneCell">
    <xdr:from>
      <xdr:col>35</xdr:col>
      <xdr:colOff>726140</xdr:colOff>
      <xdr:row>2</xdr:row>
      <xdr:rowOff>139411</xdr:rowOff>
    </xdr:from>
    <xdr:to>
      <xdr:col>44</xdr:col>
      <xdr:colOff>284710</xdr:colOff>
      <xdr:row>5</xdr:row>
      <xdr:rowOff>117037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98EAC3-889F-4D55-9B53-00ACCC6D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193960" y="505171"/>
          <a:ext cx="5646950" cy="526266"/>
        </a:xfrm>
        <a:prstGeom prst="rect">
          <a:avLst/>
        </a:prstGeom>
      </xdr:spPr>
    </xdr:pic>
    <xdr:clientData/>
  </xdr:twoCellAnchor>
  <xdr:twoCellAnchor>
    <xdr:from>
      <xdr:col>14</xdr:col>
      <xdr:colOff>466835</xdr:colOff>
      <xdr:row>34</xdr:row>
      <xdr:rowOff>37765</xdr:rowOff>
    </xdr:from>
    <xdr:to>
      <xdr:col>20</xdr:col>
      <xdr:colOff>254821</xdr:colOff>
      <xdr:row>49</xdr:row>
      <xdr:rowOff>106233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8278E5-6288-419B-9043-9AAA0F15B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735778</xdr:colOff>
      <xdr:row>46</xdr:row>
      <xdr:rowOff>170329</xdr:rowOff>
    </xdr:from>
    <xdr:to>
      <xdr:col>30</xdr:col>
      <xdr:colOff>461682</xdr:colOff>
      <xdr:row>64</xdr:row>
      <xdr:rowOff>96707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63BD7D-666A-4135-8143-1EFBD49FD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67235</xdr:colOff>
      <xdr:row>18</xdr:row>
      <xdr:rowOff>125507</xdr:rowOff>
    </xdr:from>
    <xdr:to>
      <xdr:col>45</xdr:col>
      <xdr:colOff>461682</xdr:colOff>
      <xdr:row>34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DB0B0B9-FCB1-4105-BED6-31CAF6055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80683</xdr:colOff>
      <xdr:row>2</xdr:row>
      <xdr:rowOff>26895</xdr:rowOff>
    </xdr:from>
    <xdr:to>
      <xdr:col>15</xdr:col>
      <xdr:colOff>648657</xdr:colOff>
      <xdr:row>5</xdr:row>
      <xdr:rowOff>44824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10DAD-7127-4E1F-94B5-9A51AE080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2803" y="392655"/>
          <a:ext cx="1489994" cy="566569"/>
        </a:xfrm>
        <a:prstGeom prst="rect">
          <a:avLst/>
        </a:prstGeom>
      </xdr:spPr>
    </xdr:pic>
    <xdr:clientData/>
  </xdr:twoCellAnchor>
  <xdr:twoCellAnchor editAs="oneCell">
    <xdr:from>
      <xdr:col>22</xdr:col>
      <xdr:colOff>89647</xdr:colOff>
      <xdr:row>2</xdr:row>
      <xdr:rowOff>127121</xdr:rowOff>
    </xdr:from>
    <xdr:to>
      <xdr:col>22</xdr:col>
      <xdr:colOff>968188</xdr:colOff>
      <xdr:row>5</xdr:row>
      <xdr:rowOff>122870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8F0D7B-5240-4336-A4AE-15D6A41B1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2107" y="492881"/>
          <a:ext cx="878541" cy="544389"/>
        </a:xfrm>
        <a:prstGeom prst="rect">
          <a:avLst/>
        </a:prstGeom>
      </xdr:spPr>
    </xdr:pic>
    <xdr:clientData/>
  </xdr:twoCellAnchor>
  <xdr:twoCellAnchor editAs="oneCell">
    <xdr:from>
      <xdr:col>23</xdr:col>
      <xdr:colOff>125508</xdr:colOff>
      <xdr:row>2</xdr:row>
      <xdr:rowOff>171390</xdr:rowOff>
    </xdr:from>
    <xdr:to>
      <xdr:col>27</xdr:col>
      <xdr:colOff>89648</xdr:colOff>
      <xdr:row>5</xdr:row>
      <xdr:rowOff>92833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1A13A3-8953-4A6C-BD4F-620259A0C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18108" y="537150"/>
          <a:ext cx="2501600" cy="470083"/>
        </a:xfrm>
        <a:prstGeom prst="rect">
          <a:avLst/>
        </a:prstGeom>
      </xdr:spPr>
    </xdr:pic>
    <xdr:clientData/>
  </xdr:twoCellAnchor>
  <xdr:twoCellAnchor editAs="oneCell">
    <xdr:from>
      <xdr:col>15</xdr:col>
      <xdr:colOff>493058</xdr:colOff>
      <xdr:row>1</xdr:row>
      <xdr:rowOff>71717</xdr:rowOff>
    </xdr:from>
    <xdr:to>
      <xdr:col>17</xdr:col>
      <xdr:colOff>753034</xdr:colOff>
      <xdr:row>5</xdr:row>
      <xdr:rowOff>46739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34EF69-BFBC-4A29-A560-854D6668D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57198" y="254597"/>
          <a:ext cx="2782196" cy="706542"/>
        </a:xfrm>
        <a:prstGeom prst="rect">
          <a:avLst/>
        </a:prstGeom>
      </xdr:spPr>
    </xdr:pic>
    <xdr:clientData/>
  </xdr:twoCellAnchor>
  <xdr:twoCellAnchor editAs="oneCell">
    <xdr:from>
      <xdr:col>34</xdr:col>
      <xdr:colOff>143436</xdr:colOff>
      <xdr:row>2</xdr:row>
      <xdr:rowOff>116543</xdr:rowOff>
    </xdr:from>
    <xdr:to>
      <xdr:col>35</xdr:col>
      <xdr:colOff>636496</xdr:colOff>
      <xdr:row>5</xdr:row>
      <xdr:rowOff>10878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4D9FD3-EAAF-47E7-AB46-DFAA4811A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6276" y="482303"/>
          <a:ext cx="1415080" cy="442975"/>
        </a:xfrm>
        <a:prstGeom prst="rect">
          <a:avLst/>
        </a:prstGeom>
      </xdr:spPr>
    </xdr:pic>
    <xdr:clientData/>
  </xdr:twoCellAnchor>
  <xdr:twoCellAnchor editAs="oneCell">
    <xdr:from>
      <xdr:col>35</xdr:col>
      <xdr:colOff>726140</xdr:colOff>
      <xdr:row>2</xdr:row>
      <xdr:rowOff>139411</xdr:rowOff>
    </xdr:from>
    <xdr:to>
      <xdr:col>45</xdr:col>
      <xdr:colOff>437110</xdr:colOff>
      <xdr:row>5</xdr:row>
      <xdr:rowOff>117037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56F757-47DD-4768-A5BF-DED989592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71000" y="505171"/>
          <a:ext cx="5646950" cy="526266"/>
        </a:xfrm>
        <a:prstGeom prst="rect">
          <a:avLst/>
        </a:prstGeom>
      </xdr:spPr>
    </xdr:pic>
    <xdr:clientData/>
  </xdr:twoCellAnchor>
  <xdr:twoCellAnchor>
    <xdr:from>
      <xdr:col>22</xdr:col>
      <xdr:colOff>766480</xdr:colOff>
      <xdr:row>46</xdr:row>
      <xdr:rowOff>0</xdr:rowOff>
    </xdr:from>
    <xdr:to>
      <xdr:col>31</xdr:col>
      <xdr:colOff>448235</xdr:colOff>
      <xdr:row>62</xdr:row>
      <xdr:rowOff>143435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4577E3-E662-4749-8AB0-C23B62D50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667869</xdr:colOff>
      <xdr:row>28</xdr:row>
      <xdr:rowOff>44825</xdr:rowOff>
    </xdr:from>
    <xdr:to>
      <xdr:col>41</xdr:col>
      <xdr:colOff>717175</xdr:colOff>
      <xdr:row>43</xdr:row>
      <xdr:rowOff>98613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295ADF-E731-4B59-801E-07667AFCE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811305</xdr:colOff>
      <xdr:row>36</xdr:row>
      <xdr:rowOff>71717</xdr:rowOff>
    </xdr:from>
    <xdr:to>
      <xdr:col>19</xdr:col>
      <xdr:colOff>712694</xdr:colOff>
      <xdr:row>51</xdr:row>
      <xdr:rowOff>125505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91BAE3-5F21-407E-B164-7CF102813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47097337966" createdVersion="8" refreshedVersion="8" minRefreshableVersion="3" recordCount="8" xr:uid="{293E2512-A050-4B99-908B-E42313D644A8}">
  <cacheSource type="worksheet">
    <worksheetSource name="Table129"/>
  </cacheSource>
  <cacheFields count="4">
    <cacheField name="Speed Up" numFmtId="0">
      <sharedItems count="2">
        <s v="Amdals law Speed Up"/>
        <s v="Actual Speed Up"/>
      </sharedItems>
    </cacheField>
    <cacheField name="Time" numFmtId="2">
      <sharedItems containsSemiMixedTypes="0" containsString="0" containsNumber="1" minValue="0.72724399569984122" maxValue="2.9090909090909092"/>
    </cacheField>
    <cacheField name="Core" numFmtId="0">
      <sharedItems count="4">
        <s v="core 1"/>
        <s v="core 2"/>
        <s v="core 4"/>
        <s v="core 8"/>
      </sharedItems>
    </cacheField>
    <cacheField name="datas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47097800928" createdVersion="8" refreshedVersion="8" minRefreshableVersion="3" recordCount="12" xr:uid="{C44A95E8-9126-4470-B5A4-4115EC270815}">
  <cacheSource type="worksheet">
    <worksheetSource name="Table131524"/>
  </cacheSource>
  <cacheFields count="7">
    <cacheField name="Cluster type" numFmtId="0">
      <sharedItems/>
    </cacheField>
    <cacheField name="Type of code" numFmtId="0">
      <sharedItems/>
    </cacheField>
    <cacheField name="region" numFmtId="0">
      <sharedItems/>
    </cacheField>
    <cacheField name="Num.P" numFmtId="0">
      <sharedItems containsMixedTypes="1" containsNumber="1" containsInteger="1" minValue="1" maxValue="8" count="8">
        <s v="Core 1"/>
        <s v="Core 2"/>
        <s v="Core 4"/>
        <s v="Core 8"/>
        <n v="1" u="1"/>
        <n v="2" u="1"/>
        <n v="4" u="1"/>
        <n v="8" u="1"/>
      </sharedItems>
    </cacheField>
    <cacheField name="Dataset size" numFmtId="0">
      <sharedItems count="3">
        <s v="20 k"/>
        <s v="40 k"/>
        <s v="80 k"/>
      </sharedItems>
    </cacheField>
    <cacheField name="Ex time" numFmtId="0">
      <sharedItems containsSemiMixedTypes="0" containsString="0" containsNumber="1" minValue="2.37601" maxValue="7.4930700000000003"/>
    </cacheField>
    <cacheField name="Speed Up" numFmtId="2">
      <sharedItems containsSemiMixedTypes="0" containsString="0" containsNumber="1" minValue="0.24066103746528458" maxValue="0.758957243445945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47098148151" createdVersion="8" refreshedVersion="8" minRefreshableVersion="3" recordCount="3" xr:uid="{EBA734D2-67BE-4B01-AECA-F8C513AF8C0D}">
  <cacheSource type="worksheet">
    <worksheetSource name="Table1321625"/>
  </cacheSource>
  <cacheFields count="7">
    <cacheField name="Cluster type" numFmtId="0">
      <sharedItems/>
    </cacheField>
    <cacheField name="Type of code" numFmtId="0">
      <sharedItems/>
    </cacheField>
    <cacheField name="region" numFmtId="0">
      <sharedItems/>
    </cacheField>
    <cacheField name="Num.P" numFmtId="0">
      <sharedItems containsMixedTypes="1" containsNumber="1" containsInteger="1" minValue="2" maxValue="8" count="6">
        <s v="Core 2"/>
        <s v="Core 4"/>
        <s v="Core 8"/>
        <n v="2" u="1"/>
        <n v="4" u="1"/>
        <n v="8" u="1"/>
      </sharedItems>
    </cacheField>
    <cacheField name="Dataset size" numFmtId="0">
      <sharedItems count="3">
        <s v="20 k"/>
        <s v="40 k"/>
        <s v="80 k"/>
      </sharedItems>
    </cacheField>
    <cacheField name="Ex time" numFmtId="0">
      <sharedItems containsSemiMixedTypes="0" containsString="0" containsNumber="1" minValue="2.8555100000000002" maxValue="7.0689399999999996"/>
    </cacheField>
    <cacheField name="Efficiency" numFmtId="2">
      <sharedItems containsSemiMixedTypes="0" containsString="0" containsNumber="1" minValue="0.63151240934193886" maxValue="0.72047011291650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47099421298" createdVersion="8" refreshedVersion="8" minRefreshableVersion="3" recordCount="8" xr:uid="{A7D9308B-C1E6-4EB5-9D47-DB7069193CF6}">
  <cacheSource type="worksheet">
    <worksheetSource name="Table12"/>
  </cacheSource>
  <cacheFields count="3">
    <cacheField name="Speed Up" numFmtId="0">
      <sharedItems count="2">
        <s v="Amdals law Speed Up"/>
        <s v="Actual Speed Up"/>
      </sharedItems>
    </cacheField>
    <cacheField name="core" numFmtId="2">
      <sharedItems containsSemiMixedTypes="0" containsString="0" containsNumber="1" minValue="0.98615916955017302" maxValue="2.9090909090909092"/>
    </cacheField>
    <cacheField name="time" numFmtId="0">
      <sharedItems count="4">
        <s v="core 1"/>
        <s v="core 2"/>
        <s v="core 4"/>
        <s v="core 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47099768522" createdVersion="8" refreshedVersion="8" minRefreshableVersion="3" recordCount="12" xr:uid="{F720AFBD-BF48-44FF-8E6D-2B0000ED2B5B}">
  <cacheSource type="worksheet">
    <worksheetSource name="Table13"/>
  </cacheSource>
  <cacheFields count="7">
    <cacheField name="Cluster type" numFmtId="0">
      <sharedItems/>
    </cacheField>
    <cacheField name="Type of code" numFmtId="0">
      <sharedItems/>
    </cacheField>
    <cacheField name="region" numFmtId="0">
      <sharedItems/>
    </cacheField>
    <cacheField name="Num.P" numFmtId="0">
      <sharedItems containsSemiMixedTypes="0" containsString="0" containsNumber="1" containsInteger="1" minValue="1" maxValue="8" count="4">
        <n v="1"/>
        <n v="2"/>
        <n v="4"/>
        <n v="8"/>
      </sharedItems>
    </cacheField>
    <cacheField name="Dataset size" numFmtId="0">
      <sharedItems count="3">
        <s v="20 k"/>
        <s v="40 k"/>
        <s v="80 k"/>
      </sharedItems>
    </cacheField>
    <cacheField name="Ex time" numFmtId="0">
      <sharedItems containsSemiMixedTypes="0" containsString="0" containsNumber="1" minValue="1" maxValue="7.7526200000000003"/>
    </cacheField>
    <cacheField name="Speed Up" numFmtId="2">
      <sharedItems containsSemiMixedTypes="0" containsString="0" containsNumber="1" minValue="0.23252526242741164" maxValue="2.175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4709988426" createdVersion="8" refreshedVersion="8" minRefreshableVersion="3" recordCount="3" xr:uid="{5ACD4E2F-C10D-4E7A-9525-EFA404CBEA76}">
  <cacheSource type="worksheet">
    <worksheetSource name="Table132"/>
  </cacheSource>
  <cacheFields count="7">
    <cacheField name="Cluster type" numFmtId="0">
      <sharedItems/>
    </cacheField>
    <cacheField name="Type of code" numFmtId="0">
      <sharedItems/>
    </cacheField>
    <cacheField name="region" numFmtId="0">
      <sharedItems/>
    </cacheField>
    <cacheField name="Num.P" numFmtId="0">
      <sharedItems containsSemiMixedTypes="0" containsString="0" containsNumber="1" containsInteger="1" minValue="2" maxValue="8" count="3">
        <n v="2"/>
        <n v="4"/>
        <n v="8"/>
      </sharedItems>
    </cacheField>
    <cacheField name="Dataset size" numFmtId="0">
      <sharedItems count="3">
        <s v="20 k"/>
        <s v="40 k"/>
        <s v="80 k"/>
      </sharedItems>
    </cacheField>
    <cacheField name="Ex time" numFmtId="0">
      <sharedItems containsSemiMixedTypes="0" containsString="0" containsNumber="1" minValue="2.17536" maxValue="7.7526200000000003"/>
    </cacheField>
    <cacheField name="Efficiency" numFmtId="2">
      <sharedItems containsSemiMixedTypes="0" containsString="0" containsNumber="1" minValue="0.3681658587677456" maxValue="0.951416666666666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52956944444" createdVersion="8" refreshedVersion="8" minRefreshableVersion="3" recordCount="8" xr:uid="{A360A5DA-C1FE-4DD7-A67D-EA565CDCE666}">
  <cacheSource type="worksheet">
    <worksheetSource name="Table12931"/>
  </cacheSource>
  <cacheFields count="4">
    <cacheField name="Speed Up" numFmtId="0">
      <sharedItems count="2">
        <s v="Amdals law Speed Up"/>
        <s v="Actual Speed Up"/>
      </sharedItems>
    </cacheField>
    <cacheField name="Time" numFmtId="2">
      <sharedItems containsSemiMixedTypes="0" containsString="0" containsNumber="1" minValue="0.90983314139046445" maxValue="2.9090909090909092"/>
    </cacheField>
    <cacheField name="Core" numFmtId="0">
      <sharedItems count="4">
        <s v="core 1"/>
        <s v="core 2"/>
        <s v="core 4"/>
        <s v="core 8"/>
      </sharedItems>
    </cacheField>
    <cacheField name="datas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53043634263" createdVersion="8" refreshedVersion="8" minRefreshableVersion="3" recordCount="12" xr:uid="{5F863DF7-8F10-432C-9F20-1BEFB71CE4E8}">
  <cacheSource type="worksheet">
    <worksheetSource name="Table1315"/>
  </cacheSource>
  <cacheFields count="7">
    <cacheField name="Cluster type" numFmtId="0">
      <sharedItems/>
    </cacheField>
    <cacheField name="Type of code" numFmtId="0">
      <sharedItems/>
    </cacheField>
    <cacheField name="region" numFmtId="0">
      <sharedItems/>
    </cacheField>
    <cacheField name="Num.P" numFmtId="0">
      <sharedItems containsMixedTypes="1" containsNumber="1" containsInteger="1" minValue="1" maxValue="8" count="8">
        <s v="Core 1"/>
        <s v="Core 2"/>
        <s v="Core 4"/>
        <s v="Core 8"/>
        <n v="1" u="1"/>
        <n v="2" u="1"/>
        <n v="4" u="1"/>
        <n v="8" u="1"/>
      </sharedItems>
    </cacheField>
    <cacheField name="Dataset size" numFmtId="0">
      <sharedItems count="3">
        <s v="20 k"/>
        <s v="40 k"/>
        <s v="80 k"/>
      </sharedItems>
    </cacheField>
    <cacheField name="Ex time" numFmtId="0">
      <sharedItems containsSemiMixedTypes="0" containsString="0" containsNumber="1" minValue="2.2322000000000002" maxValue="7.4508799999999997"/>
    </cacheField>
    <cacheField name="Speed Up" numFmtId="2">
      <sharedItems containsSemiMixedTypes="0" containsString="0" containsNumber="1" minValue="0.24945375579797285" maxValue="0.832653884060567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53237384261" createdVersion="8" refreshedVersion="8" minRefreshableVersion="3" recordCount="12" xr:uid="{42527E97-772C-41F9-BFF8-94480DE51172}">
  <cacheSource type="worksheet">
    <worksheetSource name="Table131532"/>
  </cacheSource>
  <cacheFields count="7">
    <cacheField name="Cluster type" numFmtId="0">
      <sharedItems/>
    </cacheField>
    <cacheField name="Type of code" numFmtId="0">
      <sharedItems/>
    </cacheField>
    <cacheField name="region" numFmtId="0">
      <sharedItems/>
    </cacheField>
    <cacheField name="Num.P" numFmtId="0">
      <sharedItems count="4">
        <s v="Core 1"/>
        <s v="Core 2"/>
        <s v="Core 4"/>
        <s v="Core 8"/>
      </sharedItems>
    </cacheField>
    <cacheField name="Dataset size" numFmtId="0">
      <sharedItems count="3">
        <s v="20 k"/>
        <s v="40 k"/>
        <s v="80 k"/>
      </sharedItems>
    </cacheField>
    <cacheField name="Ex time" numFmtId="0">
      <sharedItems containsSemiMixedTypes="0" containsString="0" containsNumber="1" minValue="1.86" maxValue="6.76"/>
    </cacheField>
    <cacheField name="Speed Up" numFmtId="2">
      <sharedItems containsSemiMixedTypes="0" containsString="0" containsNumber="1" minValue="0.38461538461538464" maxValue="1.3978494623655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53841435186" createdVersion="8" refreshedVersion="8" minRefreshableVersion="3" recordCount="3" xr:uid="{F559960C-19D4-45D3-ADAC-D6F6555B0091}">
  <cacheSource type="worksheet">
    <worksheetSource name="Table13216"/>
  </cacheSource>
  <cacheFields count="7">
    <cacheField name="Cluster type" numFmtId="0">
      <sharedItems/>
    </cacheField>
    <cacheField name="Type of code" numFmtId="0">
      <sharedItems/>
    </cacheField>
    <cacheField name="region" numFmtId="0">
      <sharedItems/>
    </cacheField>
    <cacheField name="Num.P" numFmtId="0">
      <sharedItems containsMixedTypes="1" containsNumber="1" containsInteger="1" minValue="2" maxValue="8" count="6">
        <s v="Core 2"/>
        <s v="Core 4"/>
        <s v="Core 8"/>
        <n v="2" u="1"/>
        <n v="4" u="1"/>
        <n v="8" u="1"/>
      </sharedItems>
    </cacheField>
    <cacheField name="Dataset size" numFmtId="0">
      <sharedItems count="3">
        <s v="20 k"/>
        <s v="40 k"/>
        <s v="80 k"/>
      </sharedItems>
    </cacheField>
    <cacheField name="Ex time" numFmtId="0">
      <sharedItems containsSemiMixedTypes="0" containsString="0" containsNumber="1" minValue="2.75447" maxValue="7.1140699999999999"/>
    </cacheField>
    <cacheField name="Efficiency" numFmtId="2">
      <sharedItems containsSemiMixedTypes="0" containsString="0" containsNumber="1" minValue="0.67477590970313706" maxValue="0.722741344069518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54083101854" createdVersion="8" refreshedVersion="8" minRefreshableVersion="3" recordCount="3" xr:uid="{A6F6F7F1-BBAB-424A-B4A5-48DA8BD03307}">
  <cacheSource type="worksheet">
    <worksheetSource name="Table1321633"/>
  </cacheSource>
  <cacheFields count="7">
    <cacheField name="Cluster type" numFmtId="0">
      <sharedItems/>
    </cacheField>
    <cacheField name="Type of code" numFmtId="0">
      <sharedItems/>
    </cacheField>
    <cacheField name="region" numFmtId="0">
      <sharedItems/>
    </cacheField>
    <cacheField name="Num.P" numFmtId="0">
      <sharedItems count="3">
        <s v="Core 2"/>
        <s v="Core 4"/>
        <s v="Core 8"/>
      </sharedItems>
    </cacheField>
    <cacheField name="Dataset size" numFmtId="0">
      <sharedItems count="3">
        <s v="20 k"/>
        <s v="40 k"/>
        <s v="80 k"/>
      </sharedItems>
    </cacheField>
    <cacheField name="Ex time" numFmtId="0">
      <sharedItems containsSemiMixedTypes="0" containsString="0" containsNumber="1" minValue="1.86" maxValue="4.13"/>
    </cacheField>
    <cacheField name="Efficiency" numFmtId="2">
      <sharedItems containsSemiMixedTypes="0" containsString="0" containsNumber="1" minValue="1.3978494623655913" maxValue="1.64648910411622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58727893516" createdVersion="8" refreshedVersion="8" minRefreshableVersion="3" recordCount="8" xr:uid="{AF010EA5-1F81-48A5-88CA-D8F8719A501C}">
  <cacheSource type="worksheet">
    <worksheetSource name="Table12923"/>
  </cacheSource>
  <cacheFields count="4">
    <cacheField name="Speed Up" numFmtId="0">
      <sharedItems count="2">
        <s v="Amdals law Speed Up"/>
        <s v="Actual Speed Up"/>
      </sharedItems>
    </cacheField>
    <cacheField name="Time" numFmtId="2">
      <sharedItems containsSemiMixedTypes="0" containsString="0" containsNumber="1" minValue="0.69907745695817403" maxValue="3.333333333333333"/>
    </cacheField>
    <cacheField name="Core" numFmtId="0">
      <sharedItems count="4">
        <s v="core 1"/>
        <s v="core 2"/>
        <s v="core 4"/>
        <s v="core 8"/>
      </sharedItems>
    </cacheField>
    <cacheField name="datas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ideh Hayati" refreshedDate="45744.861307754632" createdVersion="8" refreshedVersion="8" minRefreshableVersion="3" recordCount="8" xr:uid="{ADAD067E-B4BF-4E0F-928B-29FD81622F04}">
  <cacheSource type="worksheet">
    <worksheetSource name="Table1292339"/>
  </cacheSource>
  <cacheFields count="4">
    <cacheField name="Speed Up" numFmtId="0">
      <sharedItems count="2">
        <s v="Amdals law Speed Up"/>
        <s v="Actual Speed Up"/>
      </sharedItems>
    </cacheField>
    <cacheField name="Time" numFmtId="2">
      <sharedItems containsSemiMixedTypes="0" containsString="0" containsNumber="1" minValue="0.95671906354515046" maxValue="3.333333333333333"/>
    </cacheField>
    <cacheField name="Core" numFmtId="0">
      <sharedItems count="4">
        <s v="core 1"/>
        <s v="core 2"/>
        <s v="core 4"/>
        <s v="core 8"/>
      </sharedItems>
    </cacheField>
    <cacheField name="datas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  <x v="0"/>
    <s v="40 k"/>
  </r>
  <r>
    <x v="0"/>
    <n v="1.6"/>
    <x v="1"/>
    <s v="40 k"/>
  </r>
  <r>
    <x v="0"/>
    <n v="2.2857142857142856"/>
    <x v="2"/>
    <s v="40 k"/>
  </r>
  <r>
    <x v="0"/>
    <n v="2.9090909090909092"/>
    <x v="3"/>
    <s v="40 k"/>
  </r>
  <r>
    <x v="1"/>
    <n v="0.72724399569984122"/>
    <x v="0"/>
    <s v="40 k"/>
  </r>
  <r>
    <x v="1"/>
    <n v="0.93103248451935483"/>
    <x v="1"/>
    <s v="40 k"/>
  </r>
  <r>
    <x v="1"/>
    <n v="0.93828903736211833"/>
    <x v="2"/>
    <s v="40 k"/>
  </r>
  <r>
    <x v="1"/>
    <n v="0.87429954242720598"/>
    <x v="3"/>
    <s v="40 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Fat"/>
    <s v="Parallel"/>
    <s v="Intra"/>
    <x v="0"/>
    <x v="0"/>
    <n v="2.37601"/>
    <n v="0.75895724344594517"/>
  </r>
  <r>
    <s v="Fat"/>
    <s v="Parallel"/>
    <s v="Intra"/>
    <x v="1"/>
    <x v="0"/>
    <n v="2.7340900000000001"/>
    <n v="0.65955765903829056"/>
  </r>
  <r>
    <s v="Fat"/>
    <s v="Parallel"/>
    <s v="Intra"/>
    <x v="2"/>
    <x v="0"/>
    <n v="2.5322399999999998"/>
    <n v="0.71213234132625669"/>
  </r>
  <r>
    <s v="Fat"/>
    <s v="Parallel"/>
    <s v="Intra"/>
    <x v="3"/>
    <x v="0"/>
    <n v="2.8555100000000002"/>
    <n v="0.63151240934193886"/>
  </r>
  <r>
    <s v="Fat"/>
    <s v="Parallel"/>
    <s v="Intra"/>
    <x v="0"/>
    <x v="1"/>
    <n v="4.0919499999999998"/>
    <n v="0.66816310072214968"/>
  </r>
  <r>
    <s v="Fat"/>
    <s v="Parallel"/>
    <s v="Intra"/>
    <x v="1"/>
    <x v="1"/>
    <n v="4.3008600000000001"/>
    <n v="0.6357077421724957"/>
  </r>
  <r>
    <s v="Fat"/>
    <s v="Parallel"/>
    <s v="Intra"/>
    <x v="2"/>
    <x v="1"/>
    <n v="4.0562199999999997"/>
    <n v="0.67404874489056321"/>
  </r>
  <r>
    <s v="Fat"/>
    <s v="Parallel"/>
    <s v="Intra"/>
    <x v="3"/>
    <x v="1"/>
    <n v="4.3159900000000002"/>
    <n v="0.63347922492869535"/>
  </r>
  <r>
    <s v="Fat"/>
    <s v="Parallel"/>
    <s v="Intra"/>
    <x v="0"/>
    <x v="2"/>
    <n v="6.9893099999999997"/>
    <n v="0.25800687049222315"/>
  </r>
  <r>
    <s v="Fat"/>
    <s v="Parallel"/>
    <s v="Intra"/>
    <x v="1"/>
    <x v="2"/>
    <n v="7.4930700000000003"/>
    <n v="0.24066103746528458"/>
  </r>
  <r>
    <s v="Fat"/>
    <s v="Parallel"/>
    <s v="Intra"/>
    <x v="2"/>
    <x v="2"/>
    <n v="7.0985300000000002"/>
    <n v="0.25403710345663116"/>
  </r>
  <r>
    <s v="Fat"/>
    <s v="Parallel"/>
    <s v="Intra"/>
    <x v="3"/>
    <x v="2"/>
    <n v="7.0689399999999996"/>
    <n v="0.2551004818261295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Fat"/>
    <s v="Parallel"/>
    <s v="Intra"/>
    <x v="0"/>
    <x v="0"/>
    <n v="2.8555100000000002"/>
    <n v="0.63151240934193886"/>
  </r>
  <r>
    <s v="Fat"/>
    <s v="Parallel"/>
    <s v="Intra"/>
    <x v="1"/>
    <x v="1"/>
    <n v="4.3159900000000002"/>
    <n v="0.66278883871371341"/>
  </r>
  <r>
    <s v="Fat"/>
    <s v="Parallel"/>
    <s v="Intra"/>
    <x v="2"/>
    <x v="2"/>
    <n v="7.0689399999999996"/>
    <n v="0.720470112916505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  <x v="0"/>
  </r>
  <r>
    <x v="0"/>
    <n v="1.6"/>
    <x v="1"/>
  </r>
  <r>
    <x v="0"/>
    <n v="2.2857142857142856"/>
    <x v="2"/>
  </r>
  <r>
    <x v="0"/>
    <n v="2.9090909090909092"/>
    <x v="3"/>
  </r>
  <r>
    <x v="1"/>
    <n v="0.98615916955017302"/>
    <x v="0"/>
  </r>
  <r>
    <x v="1"/>
    <n v="1.455958549222798"/>
    <x v="1"/>
  </r>
  <r>
    <x v="1"/>
    <n v="2.0354609929078018"/>
    <x v="2"/>
  </r>
  <r>
    <x v="1"/>
    <n v="2.2265625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Fat"/>
    <s v="Parallel"/>
    <s v="Intra"/>
    <x v="0"/>
    <x v="0"/>
    <n v="2.81101"/>
    <n v="0.64129263147409654"/>
  </r>
  <r>
    <s v="Fat"/>
    <s v="Parallel"/>
    <s v="Intra"/>
    <x v="1"/>
    <x v="0"/>
    <n v="2.17536"/>
    <n v="0.82868122977346281"/>
  </r>
  <r>
    <s v="Fat"/>
    <s v="Parallel"/>
    <s v="Intra"/>
    <x v="2"/>
    <x v="0"/>
    <n v="2.5750999999999999"/>
    <n v="0.70004271678769758"/>
  </r>
  <r>
    <s v="Fat"/>
    <s v="Parallel"/>
    <s v="Intra"/>
    <x v="3"/>
    <x v="0"/>
    <n v="2.9164300000000001"/>
    <n v="0.61811186964885156"/>
  </r>
  <r>
    <s v="Fat"/>
    <s v="Parallel"/>
    <s v="Intra"/>
    <x v="0"/>
    <x v="1"/>
    <n v="1"/>
    <n v="2.17536"/>
  </r>
  <r>
    <s v="Fat"/>
    <s v="Parallel"/>
    <s v="Intra"/>
    <x v="1"/>
    <x v="1"/>
    <n v="2"/>
    <n v="1.08768"/>
  </r>
  <r>
    <s v="Fat"/>
    <s v="Parallel"/>
    <s v="Intra"/>
    <x v="2"/>
    <x v="1"/>
    <n v="3"/>
    <n v="0.72511999999999999"/>
  </r>
  <r>
    <s v="Fat"/>
    <s v="Parallel"/>
    <s v="Intra"/>
    <x v="3"/>
    <x v="1"/>
    <n v="4"/>
    <n v="0.54383999999999999"/>
  </r>
  <r>
    <s v="Fat"/>
    <s v="Parallel"/>
    <s v="Intra"/>
    <x v="0"/>
    <x v="2"/>
    <n v="7.3460700000000001"/>
    <n v="0.24539379559410679"/>
  </r>
  <r>
    <s v="Fat"/>
    <s v="Parallel"/>
    <s v="Intra"/>
    <x v="1"/>
    <x v="2"/>
    <n v="5.9031000000000002"/>
    <n v="0.30537852992495468"/>
  </r>
  <r>
    <s v="Fat"/>
    <s v="Parallel"/>
    <s v="Intra"/>
    <x v="2"/>
    <x v="2"/>
    <n v="6.9655500000000004"/>
    <n v="0.25879937693362332"/>
  </r>
  <r>
    <s v="Fat"/>
    <s v="Parallel"/>
    <s v="Intra"/>
    <x v="3"/>
    <x v="2"/>
    <n v="7.7526200000000003"/>
    <n v="0.2325252624274116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Fat"/>
    <s v="Parallel"/>
    <s v="Intra"/>
    <x v="0"/>
    <x v="0"/>
    <n v="2.17536"/>
    <n v="0.82868122977346281"/>
  </r>
  <r>
    <s v="Fat"/>
    <s v="Parallel"/>
    <s v="Intra"/>
    <x v="1"/>
    <x v="1"/>
    <n v="3"/>
    <n v="0.95141666666666669"/>
  </r>
  <r>
    <s v="Fat"/>
    <s v="Parallel"/>
    <s v="Intra"/>
    <x v="2"/>
    <x v="2"/>
    <n v="7.7526200000000003"/>
    <n v="0.368165858767745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  <x v="0"/>
    <s v="40 k"/>
  </r>
  <r>
    <x v="0"/>
    <n v="1.6"/>
    <x v="1"/>
    <s v="40 k"/>
  </r>
  <r>
    <x v="0"/>
    <n v="2.2857142857142856"/>
    <x v="2"/>
    <s v="40 k"/>
  </r>
  <r>
    <x v="0"/>
    <n v="2.9090909090909092"/>
    <x v="3"/>
    <s v="40 k"/>
  </r>
  <r>
    <x v="1"/>
    <n v="0.90983314139046445"/>
    <x v="0"/>
    <s v="40 k"/>
  </r>
  <r>
    <x v="1"/>
    <n v="1.1746987951807228"/>
    <x v="1"/>
    <s v="40 k"/>
  </r>
  <r>
    <x v="1"/>
    <n v="1.5436241610738255"/>
    <x v="2"/>
    <s v="40 k"/>
  </r>
  <r>
    <x v="1"/>
    <n v="1.8390804597701149"/>
    <x v="3"/>
    <s v="40 k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Fat"/>
    <s v="Parallel"/>
    <s v="Intra"/>
    <x v="0"/>
    <x v="0"/>
    <n v="2.4497800000000001"/>
    <n v="0.7587007812946468"/>
  </r>
  <r>
    <s v="Fat"/>
    <s v="Parallel"/>
    <s v="Intra"/>
    <x v="1"/>
    <x v="0"/>
    <n v="2.2322000000000002"/>
    <n v="0.83265388406056795"/>
  </r>
  <r>
    <s v="Fat"/>
    <s v="Parallel"/>
    <s v="Intra"/>
    <x v="2"/>
    <x v="0"/>
    <n v="2.5677699999999999"/>
    <n v="0.72383819423079165"/>
  </r>
  <r>
    <s v="Fat"/>
    <s v="Parallel"/>
    <s v="Intra"/>
    <x v="3"/>
    <x v="0"/>
    <n v="2.75447"/>
    <n v="0.67477590970313706"/>
  </r>
  <r>
    <s v="Fat"/>
    <s v="Parallel"/>
    <s v="Intra"/>
    <x v="0"/>
    <x v="1"/>
    <n v="4.17659"/>
    <n v="0.53445514163468288"/>
  </r>
  <r>
    <s v="Fat"/>
    <s v="Parallel"/>
    <s v="Intra"/>
    <x v="1"/>
    <x v="1"/>
    <n v="3.6238800000000002"/>
    <n v="0.61596962371822472"/>
  </r>
  <r>
    <s v="Fat"/>
    <s v="Parallel"/>
    <s v="Intra"/>
    <x v="2"/>
    <x v="1"/>
    <n v="4.06508"/>
    <n v="0.54911588455823757"/>
  </r>
  <r>
    <s v="Fat"/>
    <s v="Parallel"/>
    <s v="Intra"/>
    <x v="3"/>
    <x v="1"/>
    <n v="4.20261"/>
    <n v="0.53114612110093495"/>
  </r>
  <r>
    <s v="Fat"/>
    <s v="Parallel"/>
    <s v="Intra"/>
    <x v="0"/>
    <x v="2"/>
    <n v="7.4508799999999997"/>
    <n v="0.24945375579797285"/>
  </r>
  <r>
    <s v="Fat"/>
    <s v="Parallel"/>
    <s v="Intra"/>
    <x v="1"/>
    <x v="2"/>
    <n v="6.1175300000000004"/>
    <n v="0.30382360200930764"/>
  </r>
  <r>
    <s v="Fat"/>
    <s v="Parallel"/>
    <s v="Intra"/>
    <x v="2"/>
    <x v="2"/>
    <n v="7.1958000000000002"/>
    <n v="0.2582965062953389"/>
  </r>
  <r>
    <s v="Fat"/>
    <s v="Parallel"/>
    <s v="Intra"/>
    <x v="3"/>
    <x v="2"/>
    <n v="7.1140699999999999"/>
    <n v="0.2612639459549878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Fat"/>
    <s v="Parallel"/>
    <s v="Intra"/>
    <x v="0"/>
    <x v="0"/>
    <n v="2.4497800000000001"/>
    <n v="1.0613197919813209"/>
  </r>
  <r>
    <s v="Fat"/>
    <s v="Parallel"/>
    <s v="Intra"/>
    <x v="1"/>
    <x v="0"/>
    <n v="2.1"/>
    <n v="1.2380952380952381"/>
  </r>
  <r>
    <s v="Fat"/>
    <s v="Parallel"/>
    <s v="Intra"/>
    <x v="2"/>
    <x v="0"/>
    <n v="2.02"/>
    <n v="1.2871287128712872"/>
  </r>
  <r>
    <s v="Fat"/>
    <s v="Parallel"/>
    <s v="Intra"/>
    <x v="3"/>
    <x v="0"/>
    <n v="1.86"/>
    <n v="1.3978494623655913"/>
  </r>
  <r>
    <s v="Fat"/>
    <s v="Parallel"/>
    <s v="Intra"/>
    <x v="0"/>
    <x v="1"/>
    <n v="4.17659"/>
    <n v="0.50280252550525673"/>
  </r>
  <r>
    <s v="Fat"/>
    <s v="Parallel"/>
    <s v="Intra"/>
    <x v="1"/>
    <x v="1"/>
    <n v="3.32"/>
    <n v="0.6325301204819278"/>
  </r>
  <r>
    <s v="Fat"/>
    <s v="Parallel"/>
    <s v="Intra"/>
    <x v="2"/>
    <x v="1"/>
    <n v="2.98"/>
    <n v="0.70469798657718119"/>
  </r>
  <r>
    <s v="Fat"/>
    <s v="Parallel"/>
    <s v="Intra"/>
    <x v="3"/>
    <x v="1"/>
    <n v="2.61"/>
    <n v="0.80459770114942541"/>
  </r>
  <r>
    <s v="Fat"/>
    <s v="Parallel"/>
    <s v="Intra"/>
    <x v="0"/>
    <x v="2"/>
    <n v="6.76"/>
    <n v="0.38461538461538464"/>
  </r>
  <r>
    <s v="Fat"/>
    <s v="Parallel"/>
    <s v="Intra"/>
    <x v="1"/>
    <x v="2"/>
    <n v="5.8010000000000002"/>
    <n v="0.44819858645061195"/>
  </r>
  <r>
    <s v="Fat"/>
    <s v="Parallel"/>
    <s v="Intra"/>
    <x v="2"/>
    <x v="2"/>
    <n v="4.6900000000000004"/>
    <n v="0.55437100213219614"/>
  </r>
  <r>
    <s v="Fat"/>
    <s v="Parallel"/>
    <s v="Intra"/>
    <x v="3"/>
    <x v="2"/>
    <n v="4.13"/>
    <n v="0.629539951573849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Fat"/>
    <s v="Parallel"/>
    <s v="Intra"/>
    <x v="0"/>
    <x v="0"/>
    <n v="2.75447"/>
    <n v="0.67477590970313706"/>
  </r>
  <r>
    <s v="Fat"/>
    <s v="Parallel"/>
    <s v="Intra"/>
    <x v="1"/>
    <x v="1"/>
    <n v="4.20261"/>
    <n v="0.72274134406951873"/>
  </r>
  <r>
    <s v="Fat"/>
    <s v="Parallel"/>
    <s v="Intra"/>
    <x v="2"/>
    <x v="2"/>
    <n v="7.1140699999999999"/>
    <n v="0.72018268023789478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Fat"/>
    <s v="Parallel"/>
    <s v="Intra"/>
    <x v="0"/>
    <x v="0"/>
    <n v="1.86"/>
    <n v="1.3978494623655913"/>
  </r>
  <r>
    <s v="Fat"/>
    <s v="Parallel"/>
    <s v="Intra"/>
    <x v="1"/>
    <x v="1"/>
    <n v="2.61"/>
    <n v="1.4559386973180077"/>
  </r>
  <r>
    <s v="Fat"/>
    <s v="Parallel"/>
    <s v="Intra"/>
    <x v="2"/>
    <x v="2"/>
    <n v="4.13"/>
    <n v="1.6464891041162228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  <x v="0"/>
    <s v="40 k"/>
  </r>
  <r>
    <x v="0"/>
    <n v="1.6666666666666665"/>
    <x v="1"/>
    <s v="40 k"/>
  </r>
  <r>
    <x v="0"/>
    <n v="2.5"/>
    <x v="2"/>
    <s v="40 k"/>
  </r>
  <r>
    <x v="0"/>
    <n v="3.333333333333333"/>
    <x v="3"/>
    <s v="40 k"/>
  </r>
  <r>
    <x v="1"/>
    <n v="0.69907745695817403"/>
    <x v="0"/>
    <s v="40 k"/>
  </r>
  <r>
    <x v="1"/>
    <n v="0.76492375943415958"/>
    <x v="1"/>
    <s v="40 k"/>
  </r>
  <r>
    <x v="1"/>
    <n v="0.80918194772472907"/>
    <x v="2"/>
    <s v="40 k"/>
  </r>
  <r>
    <x v="1"/>
    <n v="0.75269173468891259"/>
    <x v="3"/>
    <s v="40 k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  <x v="0"/>
    <s v="40 k"/>
  </r>
  <r>
    <x v="0"/>
    <n v="1.6666666666666665"/>
    <x v="1"/>
    <s v="40 k"/>
  </r>
  <r>
    <x v="0"/>
    <n v="2.5"/>
    <x v="2"/>
    <s v="40 k"/>
  </r>
  <r>
    <x v="0"/>
    <n v="3.333333333333333"/>
    <x v="3"/>
    <s v="40 k"/>
  </r>
  <r>
    <x v="1"/>
    <n v="0.95671906354515046"/>
    <x v="0"/>
    <s v="40 k"/>
  </r>
  <r>
    <x v="1"/>
    <n v="1.0510638977635782"/>
    <x v="1"/>
    <s v="40 k"/>
  </r>
  <r>
    <x v="1"/>
    <n v="1.1126169491525424"/>
    <x v="2"/>
    <s v="40 k"/>
  </r>
  <r>
    <x v="1"/>
    <n v="1.6324673366834173"/>
    <x v="3"/>
    <s v="40 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7AF1E-7889-4FE8-BB92-309F34744F0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I21:AJ28" firstHeaderRow="1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2">
    <field x="3"/>
    <field x="4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Efficiency" fld="6" baseField="0" baseItem="0" numFmtId="2"/>
  </dataFields>
  <chartFormats count="1"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3979A-67AC-43E4-963A-7711CE829CD1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Y38:AC44" firstHeaderRow="1" firstDataRow="2" firstDataCol="1"/>
  <pivotFields count="7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peed Up" fld="6" baseField="0" baseItem="0" numFmtId="2"/>
  </dataFields>
  <chartFormats count="3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F5515-D086-4F28-917B-F5B133AF0DF9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O25:Q30" firstHeaderRow="1" firstDataRow="2" firstDataCol="1"/>
  <pivotFields count="3">
    <pivotField axis="axisCol" showAll="0">
      <items count="3">
        <item x="1"/>
        <item x="0"/>
        <item t="default"/>
      </items>
    </pivotField>
    <pivotField dataField="1" numFmtId="2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0"/>
  </colFields>
  <colItems count="2">
    <i>
      <x/>
    </i>
    <i>
      <x v="1"/>
    </i>
  </colItems>
  <dataFields count="1">
    <dataField name="Sum of core" fld="1" baseField="0" baseItem="0" numFmtId="2"/>
  </dataFields>
  <chartFormats count="2"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A5AAB-101C-4C40-ACD2-3439AB3273C1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I21:AJ28" firstHeaderRow="1" firstDataRow="1" firstDataCol="1"/>
  <pivotFields count="7">
    <pivotField showAll="0"/>
    <pivotField showAll="0"/>
    <pivotField showAll="0"/>
    <pivotField axis="axisRow" showAll="0">
      <items count="7">
        <item m="1" x="3"/>
        <item m="1" x="4"/>
        <item m="1" x="5"/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2">
    <field x="3"/>
    <field x="4"/>
  </rowFields>
  <rowItems count="7">
    <i>
      <x v="3"/>
    </i>
    <i r="1">
      <x/>
    </i>
    <i>
      <x v="4"/>
    </i>
    <i r="1">
      <x v="1"/>
    </i>
    <i>
      <x v="5"/>
    </i>
    <i r="1">
      <x v="2"/>
    </i>
    <i t="grand">
      <x/>
    </i>
  </rowItems>
  <colItems count="1">
    <i/>
  </colItems>
  <dataFields count="1">
    <dataField name="Sum of Efficiency" fld="6" baseField="0" baseItem="0" numFmtId="2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4F8C5-789A-4A7A-805F-419A467429D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24:R30" firstHeaderRow="1" firstDataRow="2" firstDataCol="1"/>
  <pivotFields count="4">
    <pivotField axis="axisCol" showAll="0">
      <items count="3">
        <item x="1"/>
        <item x="0"/>
        <item t="default"/>
      </items>
    </pivotField>
    <pivotField dataField="1" showAll="0"/>
    <pivotField axis="axisRow" numFmtId="2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me" fld="1" baseField="0" baseItem="0" numFmtId="2"/>
  </dataFields>
  <formats count="1">
    <format dxfId="426">
      <pivotArea outline="0" collapsedLevelsAreSubtotals="1" fieldPosition="0"/>
    </format>
  </formats>
  <chartFormats count="6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4C57A-3EE1-4E18-A6EB-D80E6E013296}" name="PivotTable3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W40:Z45" firstHeaderRow="1" firstDataRow="2" firstDataCol="1"/>
  <pivotFields count="7">
    <pivotField showAll="0"/>
    <pivotField showAll="0"/>
    <pivotField showAll="0"/>
    <pivotField axis="axisRow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1">
    <field x="3"/>
  </rowFields>
  <rowItems count="4">
    <i>
      <x v="4"/>
    </i>
    <i>
      <x v="5"/>
    </i>
    <i>
      <x v="6"/>
    </i>
    <i>
      <x v="7"/>
    </i>
  </rowItems>
  <colFields count="1">
    <field x="4"/>
  </colFields>
  <colItems count="3">
    <i>
      <x/>
    </i>
    <i>
      <x v="1"/>
    </i>
    <i>
      <x v="2"/>
    </i>
  </colItems>
  <dataFields count="1">
    <dataField name="Sum of Speed Up" fld="6" baseField="0" baseItem="0" numFmtId="2"/>
  </dataFields>
  <chartFormats count="24">
    <chartFormat chart="2" format="4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2" format="14" series="1">
      <pivotArea type="data" outline="0" fieldPosition="0">
        <references count="2"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2" format="1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2" format="1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2" format="1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2" format="19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3358E-9CBE-4EFE-9D53-9EE9D6163CD3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I20:AJ27" firstHeaderRow="1" firstDataRow="1" firstDataCol="1"/>
  <pivotFields count="7">
    <pivotField showAll="0"/>
    <pivotField showAll="0"/>
    <pivotField showAll="0"/>
    <pivotField axis="axisRow" showAll="0">
      <items count="7">
        <item m="1" x="3"/>
        <item m="1" x="4"/>
        <item m="1" x="5"/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2">
    <field x="3"/>
    <field x="4"/>
  </rowFields>
  <rowItems count="7">
    <i>
      <x v="3"/>
    </i>
    <i r="1">
      <x/>
    </i>
    <i>
      <x v="4"/>
    </i>
    <i r="1">
      <x v="1"/>
    </i>
    <i>
      <x v="5"/>
    </i>
    <i r="1">
      <x v="2"/>
    </i>
    <i t="grand">
      <x/>
    </i>
  </rowItems>
  <colItems count="1">
    <i/>
  </colItems>
  <dataFields count="1">
    <dataField name="Sum of Efficiency" fld="6" baseField="0" baseItem="0" numFmtId="2"/>
  </dataFields>
  <chartFormats count="6">
    <chartFormat chart="3" format="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6E95E-EB07-4645-BCA9-63F846A4BD8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W37:AA43" firstHeaderRow="1" firstDataRow="2" firstDataCol="1"/>
  <pivotFields count="7">
    <pivotField showAll="0"/>
    <pivotField showAll="0"/>
    <pivotField showAll="0"/>
    <pivotField axis="axisRow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1">
    <field x="3"/>
  </rowFields>
  <rowItems count="5"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peed Up" fld="6" baseField="0" baseItem="0" numFmtId="2"/>
  </dataFields>
  <chartFormats count="1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3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</references>
      </pivotArea>
    </chartFormat>
    <chartFormat chart="3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</references>
      </pivotArea>
    </chartFormat>
    <chartFormat chart="3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</references>
      </pivotArea>
    </chartFormat>
    <chartFormat chart="3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3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5F2F3-D158-4F6F-BA7A-6E6E2F4F6187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25:R31" firstHeaderRow="1" firstDataRow="2" firstDataCol="1"/>
  <pivotFields count="4">
    <pivotField axis="axisCol" showAll="0">
      <items count="3">
        <item x="1"/>
        <item x="0"/>
        <item t="default"/>
      </items>
    </pivotField>
    <pivotField dataField="1" numFmtId="2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me" fld="1" baseField="0" baseItem="0" numFmtId="2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9ACFA-D26D-4434-8140-C8C82B1C2FBF}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I20:AJ27" firstHeaderRow="1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2">
    <field x="4"/>
    <field x="3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Efficiency" fld="6" baseField="0" baseItem="0" numFmtId="2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CCFFF-5D99-48A9-9F81-1BA0B18DE216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W37:AA43" firstHeaderRow="1" firstDataRow="2" firstDataCol="1"/>
  <pivotFields count="7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peed Up" fld="6" baseField="0" baseItem="0" numFmtId="2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2254D-E976-4CB7-A960-5CE6C85AFAFA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O25:R31" firstHeaderRow="1" firstDataRow="2" firstDataCol="1"/>
  <pivotFields count="4">
    <pivotField axis="axisCol" showAll="0">
      <items count="3">
        <item x="1"/>
        <item x="0"/>
        <item t="default"/>
      </items>
    </pivotField>
    <pivotField dataField="1" numFmtId="2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me" fld="1" baseField="0" baseItem="0" numFmtId="2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C6899-1AC7-41FB-98DD-305B8BEBEAC8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O25:R31" firstHeaderRow="1" firstDataRow="2" firstDataCol="1"/>
  <pivotFields count="4">
    <pivotField axis="axisCol" showAll="0">
      <items count="3">
        <item x="1"/>
        <item x="0"/>
        <item t="default"/>
      </items>
    </pivotField>
    <pivotField dataField="1" numFmtId="2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me" fld="1" baseField="0" baseItem="0" numFmtId="2"/>
  </dataFields>
  <chartFormats count="4">
    <chartFormat chart="2" format="6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C0FF7-5543-4E79-ACCA-08970A1C227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W37:AA43" firstHeaderRow="1" firstDataRow="2" firstDataCol="1"/>
  <pivotFields count="7">
    <pivotField showAll="0"/>
    <pivotField showAll="0"/>
    <pivotField showAll="0"/>
    <pivotField axis="axisRow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1">
    <field x="3"/>
  </rowFields>
  <rowItems count="5"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peed Up" fld="6" baseField="0" baseItem="0" numFmtId="2"/>
  </dataFields>
  <chartFormats count="1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3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</references>
      </pivotArea>
    </chartFormat>
    <chartFormat chart="3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</references>
      </pivotArea>
    </chartFormat>
    <chartFormat chart="3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</references>
      </pivotArea>
    </chartFormat>
    <chartFormat chart="3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3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0A708-591D-43C7-B401-191B0E040DFA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I20:AJ27" firstHeaderRow="1" firstDataRow="1" firstDataCol="1"/>
  <pivotFields count="7">
    <pivotField showAll="0"/>
    <pivotField showAll="0"/>
    <pivotField showAll="0"/>
    <pivotField axis="axisRow" showAll="0">
      <items count="7">
        <item m="1" x="3"/>
        <item m="1" x="4"/>
        <item m="1" x="5"/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2">
    <field x="3"/>
    <field x="4"/>
  </rowFields>
  <rowItems count="7">
    <i>
      <x v="3"/>
    </i>
    <i r="1">
      <x/>
    </i>
    <i>
      <x v="4"/>
    </i>
    <i r="1">
      <x v="1"/>
    </i>
    <i>
      <x v="5"/>
    </i>
    <i r="1">
      <x v="2"/>
    </i>
    <i t="grand">
      <x/>
    </i>
  </rowItems>
  <colItems count="1">
    <i/>
  </colItems>
  <dataFields count="1">
    <dataField name="Sum of Efficiency" fld="6" baseField="0" baseItem="0" numFmtId="2"/>
  </dataFields>
  <chartFormats count="7">
    <chartFormat chart="3" format="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37DF0-C52F-4D8A-9CB3-794901C805B7}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I20:AJ27" firstHeaderRow="1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2">
    <field x="4"/>
    <field x="3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Efficiency" fld="6" baseField="0" baseItem="0" numFmtId="2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06BD1-EE30-42A0-8689-6B58EF2486DA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O25:R31" firstHeaderRow="1" firstDataRow="2" firstDataCol="1"/>
  <pivotFields count="4">
    <pivotField axis="axisCol" showAll="0">
      <items count="3">
        <item x="1"/>
        <item x="0"/>
        <item t="default"/>
      </items>
    </pivotField>
    <pivotField dataField="1" numFmtId="2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me" fld="1" baseField="0" baseItem="0" numFmtId="2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3E127-A1CE-4912-8C4C-D88782996760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W37:AA43" firstHeaderRow="1" firstDataRow="2" firstDataCol="1"/>
  <pivotFields count="7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peed Up" fld="6" baseField="0" baseItem="0" numFmtId="2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4A983-D015-4704-9031-7EAFF9C51AA7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I20:AJ27" firstHeaderRow="1" firstDataRow="1" firstDataCol="1"/>
  <pivotFields count="7">
    <pivotField showAll="0"/>
    <pivotField showAll="0"/>
    <pivotField showAll="0"/>
    <pivotField axis="axisRow" showAll="0">
      <items count="7">
        <item m="1" x="3"/>
        <item m="1" x="4"/>
        <item m="1" x="5"/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2">
    <field x="3"/>
    <field x="4"/>
  </rowFields>
  <rowItems count="7">
    <i>
      <x v="3"/>
    </i>
    <i r="1">
      <x/>
    </i>
    <i>
      <x v="4"/>
    </i>
    <i r="1">
      <x v="1"/>
    </i>
    <i>
      <x v="5"/>
    </i>
    <i r="1">
      <x v="2"/>
    </i>
    <i t="grand">
      <x/>
    </i>
  </rowItems>
  <colItems count="1">
    <i/>
  </colItems>
  <dataFields count="1">
    <dataField name="Sum of Efficiency" fld="6" baseField="0" baseItem="0" numFmtId="2"/>
  </dataFields>
  <chartFormats count="8">
    <chartFormat chart="3" format="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6C8A8-5BB6-4833-B3C9-AC1825B25DE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W37:AA43" firstHeaderRow="1" firstDataRow="2" firstDataCol="1"/>
  <pivotFields count="7">
    <pivotField showAll="0"/>
    <pivotField showAll="0"/>
    <pivotField showAll="0"/>
    <pivotField axis="axisRow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2" showAll="0"/>
  </pivotFields>
  <rowFields count="1">
    <field x="3"/>
  </rowFields>
  <rowItems count="5"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peed Up" fld="6" baseField="0" baseItem="0" numFmtId="2"/>
  </dataFields>
  <chartFormats count="2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1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0"/>
          </reference>
        </references>
      </pivotArea>
    </chartFormat>
    <chartFormat chart="3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"/>
          </reference>
        </references>
      </pivotArea>
    </chartFormat>
    <chartFormat chart="3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2"/>
          </reference>
        </references>
      </pivotArea>
    </chartFormat>
    <chartFormat chart="3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0"/>
          </reference>
        </references>
      </pivotArea>
    </chartFormat>
    <chartFormat chart="3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3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2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807D3-E2E0-4A6D-A2B4-BA197FF29976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25:R31" firstHeaderRow="1" firstDataRow="2" firstDataCol="1"/>
  <pivotFields count="4">
    <pivotField axis="axisCol" showAll="0">
      <items count="3">
        <item x="1"/>
        <item x="0"/>
        <item t="default"/>
      </items>
    </pivotField>
    <pivotField dataField="1" numFmtId="2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me" fld="1" baseField="0" baseItem="0" numFmtId="2"/>
  </dataFields>
  <chartFormats count="6">
    <chartFormat chart="2" format="6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0DCE31-7261-4C6B-8985-CA06A2CECC5D}" name="Table36710" displayName="Table36710" ref="A8:G32" totalsRowShown="0" dataDxfId="496">
  <autoFilter ref="A8:G32" xr:uid="{D6FD8856-A42C-405C-9D69-7BC02139CCF9}"/>
  <tableColumns count="7">
    <tableColumn id="1" xr3:uid="{E7858A77-632A-49C2-BFA2-D111A7336735}" name="Cluster type" dataDxfId="495"/>
    <tableColumn id="2" xr3:uid="{6908DE01-1B58-4AA0-ACBD-9C6D4EC8DCBC}" name="Type of code" dataDxfId="494"/>
    <tableColumn id="3" xr3:uid="{F017D921-8FAA-4F6C-BA23-E34B287EFACA}" name="region" dataDxfId="493"/>
    <tableColumn id="4" xr3:uid="{9A4D8D8C-B97D-4DEF-BB51-98D935CC41B8}" name="Num.P" dataDxfId="492"/>
    <tableColumn id="5" xr3:uid="{DF372B3A-6CF2-4DCD-981A-676287C1FB0E}" name="Dataset size" dataDxfId="491"/>
    <tableColumn id="6" xr3:uid="{7AFA7A79-FEB2-4185-A3B0-1B6A0CD162B3}" name="scalability" dataDxfId="490"/>
    <tableColumn id="9" xr3:uid="{2B0ECF2C-97E5-451C-9193-421F8BAF741B}" name="Column1" dataDxfId="489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A0D1AD-53CE-4E48-B026-5BC8A9C54FD9}" name="Table711" displayName="Table711" ref="I8:M10" totalsRowShown="0" headerRowDxfId="488" dataDxfId="487">
  <autoFilter ref="I8:M10" xr:uid="{13BF77BD-1BF3-4801-8D2D-E2A8B9415528}"/>
  <tableColumns count="5">
    <tableColumn id="1" xr3:uid="{DCA06ED7-342E-47DF-9436-AC3F8F40059C}" name="CORE 40K" dataDxfId="486"/>
    <tableColumn id="2" xr3:uid="{1427276D-CFD7-4B5C-B6C8-4C9379B71CF4}" name="core 1" dataDxfId="485"/>
    <tableColumn id="3" xr3:uid="{B1742AF7-ADA5-429E-827C-155C115D37E6}" name="core 2" dataDxfId="484"/>
    <tableColumn id="4" xr3:uid="{43608C63-4208-4192-ACA4-980AB770D239}" name="core 4" dataDxfId="483"/>
    <tableColumn id="5" xr3:uid="{BDBF7069-1632-45F8-BBA3-E37A96D911DE}" name="core 8" dataDxfId="48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077D84-8AA5-4BC7-B688-27ED3884737D}" name="Table7912" displayName="Table7912" ref="O8:S10" totalsRowShown="0" headerRowDxfId="481" dataDxfId="480">
  <autoFilter ref="O8:S10" xr:uid="{77FE258F-9384-4524-BD61-AECF5DD3ACB3}"/>
  <tableColumns count="5">
    <tableColumn id="1" xr3:uid="{92A341EA-B7D9-46D5-AC05-02E3CC5013BF}" name="CORE 40K" dataDxfId="479"/>
    <tableColumn id="2" xr3:uid="{04AEF483-EF14-4AF3-A87A-FE0EB61A318A}" name="core 1" dataDxfId="478"/>
    <tableColumn id="3" xr3:uid="{AF535432-FBC7-4296-8534-97B8F4E10583}" name="core 2" dataDxfId="477"/>
    <tableColumn id="4" xr3:uid="{1D4D1F97-EF43-421E-B8A7-4B9B876707C4}" name="core 4" dataDxfId="476"/>
    <tableColumn id="5" xr3:uid="{4330D980-B6E7-4BFC-A4AE-50E85B79DC8F}" name="core 8" dataDxfId="475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DBBC8E-8EBB-425D-9300-27769DD7CADB}" name="Table12" displayName="Table12" ref="O14:Q22" totalsRowShown="0" headerRowDxfId="474" dataDxfId="473">
  <autoFilter ref="O14:Q22" xr:uid="{89DBBC8E-8EBB-425D-9300-27769DD7CADB}"/>
  <tableColumns count="3">
    <tableColumn id="1" xr3:uid="{71264DDF-CE11-4576-9649-EACC92510443}" name="Speed Up" dataDxfId="472"/>
    <tableColumn id="2" xr3:uid="{8D23844F-4669-49E8-A4FF-36F634E4D4F6}" name="core" dataDxfId="471"/>
    <tableColumn id="3" xr3:uid="{4514EE71-06DD-4C1F-B7E0-D5507233E54C}" name="time" dataDxfId="470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52BE444-4067-4694-8F17-9A39CF91A577}" name="Table13" displayName="Table13" ref="Y22:AE34" totalsRowShown="0" headerRowDxfId="469" dataDxfId="467" headerRowBorderDxfId="468" tableBorderDxfId="466" totalsRowBorderDxfId="465">
  <autoFilter ref="Y22:AE34" xr:uid="{B52BE444-4067-4694-8F17-9A39CF91A577}"/>
  <sortState xmlns:xlrd2="http://schemas.microsoft.com/office/spreadsheetml/2017/richdata2" ref="Y23:AE34">
    <sortCondition ref="AC22:AC34"/>
  </sortState>
  <tableColumns count="7">
    <tableColumn id="1" xr3:uid="{DC24513A-8C6B-4B38-9E13-60E2869E3BF3}" name="Cluster type" dataDxfId="464"/>
    <tableColumn id="2" xr3:uid="{FC8B7E69-74A3-4032-9975-B526F57539A5}" name="Type of code" dataDxfId="463"/>
    <tableColumn id="3" xr3:uid="{5662CD81-46AD-45BF-914E-3B4D0D8DEBC9}" name="region" dataDxfId="462"/>
    <tableColumn id="4" xr3:uid="{B7B96F7D-16ED-4410-B920-3083269E6ACE}" name="Num.P" dataDxfId="461"/>
    <tableColumn id="5" xr3:uid="{C915C679-8CA0-4E45-9AD6-D04E1C1BD38E}" name="Dataset size" dataDxfId="460"/>
    <tableColumn id="7" xr3:uid="{471F99A3-71E1-4184-AAE7-CA298EF2E4E3}" name="Ex time" dataDxfId="459"/>
    <tableColumn id="8" xr3:uid="{4BADBBA3-B3A5-42DA-A3A9-3FCD8E1122C2}" name="Speed Up" dataDxfId="458">
      <calculatedColumnFormula>#REF!/Table13[[#This Row],[Ex time]]</calculatedColumnFormula>
    </tableColumn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006F7-A90D-4F59-B977-AD899C269ACB}" name="Table132" displayName="Table132" ref="AI14:AO17" totalsRowShown="0" headerRowDxfId="457" dataDxfId="455" headerRowBorderDxfId="456" tableBorderDxfId="454" totalsRowBorderDxfId="453">
  <autoFilter ref="AI14:AO17" xr:uid="{7A4006F7-A90D-4F59-B977-AD899C269ACB}"/>
  <sortState xmlns:xlrd2="http://schemas.microsoft.com/office/spreadsheetml/2017/richdata2" ref="AI15:AO26">
    <sortCondition ref="AM19:AM28"/>
  </sortState>
  <tableColumns count="7">
    <tableColumn id="1" xr3:uid="{E9D8424C-7452-4BBF-B853-437A587E3CCD}" name="Cluster type" dataDxfId="452"/>
    <tableColumn id="2" xr3:uid="{3186F02A-373A-4442-948C-0D7BAF34DAD6}" name="Type of code" dataDxfId="451"/>
    <tableColumn id="3" xr3:uid="{0C028181-014E-4683-BCAA-96DD652447F0}" name="region" dataDxfId="450"/>
    <tableColumn id="4" xr3:uid="{A2EBF649-C740-4263-B623-F26C4FE1FB93}" name="Num.P" dataDxfId="449"/>
    <tableColumn id="5" xr3:uid="{362DB1D5-7725-44B0-81D2-1D3CA10928D9}" name="Dataset size" dataDxfId="448"/>
    <tableColumn id="7" xr3:uid="{3454692A-B470-44F4-B4DF-80E8F0DA5F7D}" name="Ex time" dataDxfId="447"/>
    <tableColumn id="8" xr3:uid="{98E7A445-E193-4368-BCA5-AD31D200142B}" name="Efficiency" dataDxfId="446">
      <calculatedColumnFormula>AN9/Table132[[#This Row],[Ex time]]</calculatedColumnFormula>
    </tableColumn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F10111-0E29-4F13-A2AD-B2D25DD3EA98}" name="Table2" displayName="Table2" ref="Y8:AD20" totalsRowShown="0" headerRowDxfId="445" dataDxfId="444">
  <autoFilter ref="Y8:AD20" xr:uid="{49F10111-0E29-4F13-A2AD-B2D25DD3EA98}"/>
  <tableColumns count="6">
    <tableColumn id="1" xr3:uid="{1A0CF321-591B-4D7E-A2B1-BC2DDC72C815}" name="Cluster type" dataDxfId="443"/>
    <tableColumn id="2" xr3:uid="{05DC8FD4-4EBB-4134-A60B-D7073E4DEDD6}" name="Type of code" dataDxfId="442"/>
    <tableColumn id="3" xr3:uid="{18D101CF-E135-43B9-B70D-1F9FBC1B064B}" name="region" dataDxfId="441"/>
    <tableColumn id="4" xr3:uid="{99BA1E74-2B94-4A83-8D49-ABF37588FDB8}" name="Num.P" dataDxfId="440"/>
    <tableColumn id="5" xr3:uid="{68000E69-DD7E-4EC4-B859-207E4AF41DE6}" name="Dataset size" dataDxfId="439"/>
    <tableColumn id="6" xr3:uid="{5F2C4639-137B-4898-8C46-C32993AFAC98}" name="Ex time" dataDxfId="438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690609-67AF-4EFE-841E-6BA56C9B9669}" name="Table4" displayName="Table4" ref="AI8:AN11" totalsRowShown="0" headerRowDxfId="437" dataDxfId="435" headerRowBorderDxfId="436" tableBorderDxfId="434" totalsRowBorderDxfId="433">
  <autoFilter ref="AI8:AN11" xr:uid="{B9690609-67AF-4EFE-841E-6BA56C9B9669}"/>
  <tableColumns count="6">
    <tableColumn id="1" xr3:uid="{727D86D7-533D-4700-94CB-06D678D06086}" name="Cluster type" dataDxfId="432"/>
    <tableColumn id="2" xr3:uid="{4C294051-7667-4CA8-8422-A72AB1FB923D}" name="Type of code" dataDxfId="431"/>
    <tableColumn id="3" xr3:uid="{0375DB31-0EDD-4065-B506-BD5491E71DD9}" name="region" dataDxfId="430"/>
    <tableColumn id="4" xr3:uid="{95DABF5D-232C-4E51-83FE-7A4FB3F8B167}" name="Num.P" dataDxfId="429"/>
    <tableColumn id="5" xr3:uid="{34ECC699-D089-4EC6-995F-25AF5487F783}" name="Dataset size" dataDxfId="428"/>
    <tableColumn id="6" xr3:uid="{432CF80A-B3DC-4662-A287-78BDD90CAB4B}" name="Ex time" dataDxfId="427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5647F5-0451-4978-983F-63466140DDAA}" name="Table367106" displayName="Table367106" ref="A8:G36" totalsRowShown="0" dataDxfId="425">
  <autoFilter ref="A8:G36" xr:uid="{D6FD8856-A42C-405C-9D69-7BC02139CCF9}"/>
  <tableColumns count="7">
    <tableColumn id="1" xr3:uid="{E3652C5A-18E2-411C-B34A-CC6BD7C046D8}" name="Cluster type" dataDxfId="424"/>
    <tableColumn id="2" xr3:uid="{5C84295B-3712-4F9A-B393-FC8B89F3A20C}" name="Type of code" dataDxfId="423"/>
    <tableColumn id="3" xr3:uid="{BFB28C10-F37D-43D1-B578-00002912BB77}" name="region" dataDxfId="422"/>
    <tableColumn id="4" xr3:uid="{A4A4FE78-BFB8-476F-9E92-899CD7F701F4}" name="Num.P" dataDxfId="421"/>
    <tableColumn id="5" xr3:uid="{64709FD5-7BC2-4899-9155-A165FDB48C89}" name="Dataset size" dataDxfId="420"/>
    <tableColumn id="6" xr3:uid="{0506F6C8-3309-467A-B030-BB4EA2C9F914}" name="scalability" dataDxfId="419"/>
    <tableColumn id="9" xr3:uid="{606904AA-63C4-48C3-A4E8-C916172AB0F2}" name="Time" dataDxfId="418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001B1A-BBF4-4296-A49F-205C8913C26E}" name="Table7117" displayName="Table7117" ref="I8:M10" totalsRowShown="0" headerRowDxfId="417" dataDxfId="416">
  <autoFilter ref="I8:M10" xr:uid="{13BF77BD-1BF3-4801-8D2D-E2A8B9415528}"/>
  <tableColumns count="5">
    <tableColumn id="1" xr3:uid="{95AE262C-C4B9-4929-9ED6-84026B2C9E51}" name="CORE 40K" dataDxfId="415"/>
    <tableColumn id="2" xr3:uid="{1B01331C-90D9-44D5-B7CD-770A7BC60474}" name="core 1" dataDxfId="414"/>
    <tableColumn id="3" xr3:uid="{0C6E6A4A-AA83-4F81-929E-FB938F2FC600}" name="core 2" dataDxfId="413"/>
    <tableColumn id="4" xr3:uid="{AFCC3F4A-72AF-43CD-A983-10F4DF91860B}" name="core 4" dataDxfId="412"/>
    <tableColumn id="5" xr3:uid="{B34340A2-821E-4AB8-9D42-9C6A0B211989}" name="core 8" dataDxfId="411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3F2B70-FD64-45AE-A6E8-27015366D2BB}" name="Table79128" displayName="Table79128" ref="O8:S10" totalsRowShown="0" headerRowDxfId="410" dataDxfId="409">
  <autoFilter ref="O8:S10" xr:uid="{77FE258F-9384-4524-BD61-AECF5DD3ACB3}"/>
  <tableColumns count="5">
    <tableColumn id="1" xr3:uid="{7B56931C-BF87-4A42-91D9-FEB7296E2E1E}" name="CORE 40K" dataDxfId="408"/>
    <tableColumn id="2" xr3:uid="{0E4BB669-6213-496E-A642-70D122AAE3DC}" name="core 1" dataDxfId="407"/>
    <tableColumn id="3" xr3:uid="{DF294710-6890-4FBC-BCEB-AFF70B8BBC01}" name="core 2" dataDxfId="406"/>
    <tableColumn id="4" xr3:uid="{4316C316-330C-4687-9779-93DDCD684826}" name="core 4" dataDxfId="405"/>
    <tableColumn id="5" xr3:uid="{D8B0593B-305D-4157-BA20-EAAA7AD6CB04}" name="core 8" dataDxfId="404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72F987-4DC8-4BEE-9489-15D66E3945F3}" name="Table129" displayName="Table129" ref="O14:R22" totalsRowShown="0" headerRowDxfId="403" dataDxfId="402">
  <autoFilter ref="O14:R22" xr:uid="{89DBBC8E-8EBB-425D-9300-27769DD7CADB}"/>
  <tableColumns count="4">
    <tableColumn id="1" xr3:uid="{D264063E-EE21-43BD-8FA9-252E0C2EE287}" name="Speed Up" dataDxfId="401"/>
    <tableColumn id="2" xr3:uid="{62594BD0-721A-44D4-9560-ECB27D336F9B}" name="Time" dataDxfId="400"/>
    <tableColumn id="3" xr3:uid="{418BB35A-B542-4909-8F25-1AFEF215D9E4}" name="Core" dataDxfId="399"/>
    <tableColumn id="4" xr3:uid="{07868911-8991-4877-84B9-D29B5C509AC8}" name="dataset" dataDxfId="398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6775A07-5AE5-43DD-84EB-3DDC837AC9AC}" name="Table1315" displayName="Table1315" ref="W22:AC34" totalsRowShown="0" headerRowDxfId="397" dataDxfId="395" headerRowBorderDxfId="396" tableBorderDxfId="394" totalsRowBorderDxfId="393">
  <autoFilter ref="W22:AC34" xr:uid="{B52BE444-4067-4694-8F17-9A39CF91A577}"/>
  <sortState xmlns:xlrd2="http://schemas.microsoft.com/office/spreadsheetml/2017/richdata2" ref="W23:AC34">
    <sortCondition ref="AA22:AA34"/>
  </sortState>
  <tableColumns count="7">
    <tableColumn id="1" xr3:uid="{44F2714C-D801-430E-9B87-CD135A30AFCE}" name="Cluster type" dataDxfId="392"/>
    <tableColumn id="2" xr3:uid="{4DA53639-8C6D-4D63-97C4-CD3375E5A29F}" name="Type of code" dataDxfId="391"/>
    <tableColumn id="3" xr3:uid="{773ED268-546B-4A8E-A264-A6BD6933D8C0}" name="region" dataDxfId="390"/>
    <tableColumn id="4" xr3:uid="{3405E238-9A03-4E39-8C76-95281D42CB7B}" name="Num.P" dataDxfId="389"/>
    <tableColumn id="5" xr3:uid="{9917F31E-4776-4887-8A2E-5134243E7688}" name="Dataset size" dataDxfId="388"/>
    <tableColumn id="7" xr3:uid="{60395F42-1F40-4CE8-8DD9-376A4894ADD2}" name="Ex time" dataDxfId="387">
      <calculatedColumnFormula>G9</calculatedColumnFormula>
    </tableColumn>
    <tableColumn id="8" xr3:uid="{ADF77DC1-31E0-449F-8747-BAC404163045}" name="Speed Up" dataDxfId="386">
      <calculatedColumnFormula>#REF!/Table1315[[#This Row],[Ex time]]</calculatedColumnFormula>
    </tableColumn>
  </tableColumns>
  <tableStyleInfo name="TableStyleLight1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2D8E3BE-CAF6-4A31-BB04-BE5C9A0D6A0D}" name="Table13216" displayName="Table13216" ref="AI14:AO17" totalsRowShown="0" headerRowDxfId="385" dataDxfId="383" headerRowBorderDxfId="384" tableBorderDxfId="382" totalsRowBorderDxfId="381">
  <autoFilter ref="AI14:AO17" xr:uid="{7A4006F7-A90D-4F59-B977-AD899C269ACB}"/>
  <sortState xmlns:xlrd2="http://schemas.microsoft.com/office/spreadsheetml/2017/richdata2" ref="AI15:AO26">
    <sortCondition ref="AM19:AM28"/>
  </sortState>
  <tableColumns count="7">
    <tableColumn id="1" xr3:uid="{3BFBBBC7-969D-4D3B-859C-CD2CC82E95BA}" name="Cluster type" dataDxfId="380"/>
    <tableColumn id="2" xr3:uid="{D6CB3AAA-DFAC-46DE-BA4F-3DCE12BECE19}" name="Type of code" dataDxfId="379"/>
    <tableColumn id="3" xr3:uid="{76D12A75-5A88-4611-A41D-F834F9ADD853}" name="region" dataDxfId="378"/>
    <tableColumn id="4" xr3:uid="{8557D17D-BFDB-4DFC-BE3E-E017BD790C9E}" name="Num.P" dataDxfId="377"/>
    <tableColumn id="5" xr3:uid="{F8F39EEF-E4DA-4B88-9F8A-9332E667BDD7}" name="Dataset size" dataDxfId="376"/>
    <tableColumn id="7" xr3:uid="{B7B659DD-08FC-453A-B72C-CD6226751789}" name="Ex time" dataDxfId="375">
      <calculatedColumnFormula>G21</calculatedColumnFormula>
    </tableColumn>
    <tableColumn id="8" xr3:uid="{70C36722-8D7D-445C-BBC0-268D1548FA6D}" name="Efficiency" dataDxfId="374">
      <calculatedColumnFormula>AN9/Table13216[[#This Row],[Ex time]]</calculatedColumnFormula>
    </tableColumn>
  </tableColumns>
  <tableStyleInfo name="TableStyleLight1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1235AF-D7A4-4858-BB4E-E156DD3CB83C}" name="Table217" displayName="Table217" ref="W8:AB20" totalsRowShown="0" headerRowDxfId="373" dataDxfId="372">
  <autoFilter ref="W8:AB20" xr:uid="{49F10111-0E29-4F13-A2AD-B2D25DD3EA98}"/>
  <tableColumns count="6">
    <tableColumn id="1" xr3:uid="{0947982B-D37E-4A0F-83A9-FE7D0E180D4E}" name="Cluster type" dataDxfId="371"/>
    <tableColumn id="2" xr3:uid="{A2FBDB01-B18A-4122-BBC4-3FCC6FFFD4E4}" name="Type of code" dataDxfId="370"/>
    <tableColumn id="3" xr3:uid="{3C683140-3BC9-4B23-A4D3-7BAF820A4364}" name="region" dataDxfId="369"/>
    <tableColumn id="4" xr3:uid="{31E8E35A-E199-4487-B539-69F0A6CE0C5F}" name="Num.P" dataDxfId="368"/>
    <tableColumn id="5" xr3:uid="{70A52558-30EB-4C58-9E21-CEA680093201}" name="Dataset size" dataDxfId="367"/>
    <tableColumn id="6" xr3:uid="{881C5613-8A1A-4A64-A556-DAF38B0874AE}" name="Ex time" dataDxfId="366">
      <calculatedColumnFormula>G25</calculatedColumnFormula>
    </tableColumn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471FD6F-76DE-423F-BFEB-265CD82D761F}" name="Table418" displayName="Table418" ref="AI8:AN11" totalsRowShown="0" headerRowDxfId="365" dataDxfId="363" headerRowBorderDxfId="364" tableBorderDxfId="362" totalsRowBorderDxfId="361">
  <autoFilter ref="AI8:AN11" xr:uid="{B9690609-67AF-4EFE-841E-6BA56C9B9669}"/>
  <tableColumns count="6">
    <tableColumn id="1" xr3:uid="{A5D340CC-9C11-4DEE-9CF5-17816473F7C3}" name="Cluster type" dataDxfId="360"/>
    <tableColumn id="2" xr3:uid="{D7E27636-A4B9-47E4-8146-573904DBCA36}" name="Type of code" dataDxfId="359"/>
    <tableColumn id="3" xr3:uid="{C16A8A8A-F1E6-44D4-ACC3-C7B9DC5151A9}" name="region" dataDxfId="358"/>
    <tableColumn id="4" xr3:uid="{E3BB07EC-675D-43FA-8EDF-4AA88FF0E2AD}" name="Num.P" dataDxfId="357"/>
    <tableColumn id="5" xr3:uid="{A3B6B708-D5D6-4DFB-AF18-913DD638AE70}" name="Dataset size" dataDxfId="356"/>
    <tableColumn id="6" xr3:uid="{202AA532-3030-4BEC-B2BD-EDE37A21D6A8}" name="Ex time" dataDxfId="355">
      <calculatedColumnFormula>G25</calculatedColumnFormula>
    </tableColumn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9107F90-F6BD-42D5-AE9D-0700F801E686}" name="Table36710620" displayName="Table36710620" ref="A8:G36" totalsRowShown="0" dataDxfId="354">
  <autoFilter ref="A8:G36" xr:uid="{D6FD8856-A42C-405C-9D69-7BC02139CCF9}"/>
  <tableColumns count="7">
    <tableColumn id="1" xr3:uid="{BD9CCBA4-0EE6-4097-8F01-065F90499011}" name="Cluster type" dataDxfId="353"/>
    <tableColumn id="2" xr3:uid="{04FB9FA3-3A5E-4828-BA95-F9D6544BD07A}" name="Type of code" dataDxfId="352"/>
    <tableColumn id="3" xr3:uid="{10F87728-3CD5-425A-82E8-C3C0E7A2BC1C}" name="region" dataDxfId="351"/>
    <tableColumn id="4" xr3:uid="{33DA6A71-5022-4BEC-8063-4D912810FFF5}" name="Num.P" dataDxfId="350"/>
    <tableColumn id="5" xr3:uid="{88AD4CD1-4DB3-4AD6-A85F-74C6E70F43A1}" name="Dataset size" dataDxfId="349"/>
    <tableColumn id="6" xr3:uid="{FC25086C-C54C-4FFB-B7AE-7282BFD4365D}" name="scalability" dataDxfId="348"/>
    <tableColumn id="9" xr3:uid="{DD72A892-DB08-4FC3-B92E-9F2F80ECDAD8}" name="Time" dataDxfId="347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8CC7B9E-FC82-4BED-BD2A-720BF36124E9}" name="Table711721" displayName="Table711721" ref="I8:M10" totalsRowShown="0" headerRowDxfId="346" dataDxfId="345">
  <autoFilter ref="I8:M10" xr:uid="{13BF77BD-1BF3-4801-8D2D-E2A8B9415528}"/>
  <tableColumns count="5">
    <tableColumn id="1" xr3:uid="{8199254D-810F-4FD0-9A4F-71C539030153}" name="CORE 40K" dataDxfId="344"/>
    <tableColumn id="2" xr3:uid="{33AEBE58-92A4-4A08-AD5C-D04274426AD5}" name="core 1" dataDxfId="343"/>
    <tableColumn id="3" xr3:uid="{42A8E890-0EAA-4BE3-8F61-CEA89FE9087C}" name="core 2" dataDxfId="342"/>
    <tableColumn id="4" xr3:uid="{AB6EF757-74BD-46E7-9CBB-2B186892716E}" name="core 4" dataDxfId="341"/>
    <tableColumn id="5" xr3:uid="{49894BCA-31C5-42DA-A1D7-F44644E65F15}" name="core 8" dataDxfId="340"/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01CD097-D77C-4B85-94C8-932CFA45E86E}" name="Table7912822" displayName="Table7912822" ref="O8:S10" totalsRowShown="0" headerRowDxfId="339" dataDxfId="338">
  <autoFilter ref="O8:S10" xr:uid="{77FE258F-9384-4524-BD61-AECF5DD3ACB3}"/>
  <tableColumns count="5">
    <tableColumn id="1" xr3:uid="{96708322-8F0B-422B-BA06-6021E8631B35}" name="CORE 40K" dataDxfId="337"/>
    <tableColumn id="2" xr3:uid="{193CA65E-AA99-4BDE-8F6B-94AC97B425C9}" name="core 1" dataDxfId="336"/>
    <tableColumn id="3" xr3:uid="{18B43C36-1396-4B3B-9224-F2B6B95BB0C9}" name="core 2" dataDxfId="335"/>
    <tableColumn id="4" xr3:uid="{F4D48277-1BA3-4162-A0AE-EBFC9D4DFA38}" name="core 4" dataDxfId="334"/>
    <tableColumn id="5" xr3:uid="{05AD49F1-2815-4B41-9B93-BE180C2DB230}" name="core 8" dataDxfId="333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84928CC-D60C-41DB-B4C4-B2800CC457AA}" name="Table12923" displayName="Table12923" ref="O14:R22" totalsRowShown="0" headerRowDxfId="332" dataDxfId="331">
  <autoFilter ref="O14:R22" xr:uid="{89DBBC8E-8EBB-425D-9300-27769DD7CADB}"/>
  <tableColumns count="4">
    <tableColumn id="1" xr3:uid="{E63E7F22-9C03-4A75-837F-8B56B4D8A653}" name="Speed Up" dataDxfId="330"/>
    <tableColumn id="2" xr3:uid="{7C3B8B54-A243-41AE-B9C5-4352A7366F9B}" name="Time" dataDxfId="329"/>
    <tableColumn id="3" xr3:uid="{D11D754E-3938-45A3-8DEA-92644B77E6C3}" name="Core" dataDxfId="328"/>
    <tableColumn id="4" xr3:uid="{31DF6A30-7F7D-413C-BA3B-F9850047EB37}" name="dataset" dataDxfId="327"/>
  </tableColumns>
  <tableStyleInfo name="TableStyleLight2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546E76D-2C88-4DAD-AC94-FC9B4CEC7419}" name="Table131524" displayName="Table131524" ref="W22:AC34" totalsRowShown="0" headerRowDxfId="326" dataDxfId="324" headerRowBorderDxfId="325" tableBorderDxfId="323" totalsRowBorderDxfId="322">
  <autoFilter ref="W22:AC34" xr:uid="{B52BE444-4067-4694-8F17-9A39CF91A577}"/>
  <sortState xmlns:xlrd2="http://schemas.microsoft.com/office/spreadsheetml/2017/richdata2" ref="W23:AC34">
    <sortCondition ref="AA22:AA34"/>
  </sortState>
  <tableColumns count="7">
    <tableColumn id="1" xr3:uid="{F6A6D71C-14DF-4E2E-9565-F75034036B78}" name="Cluster type" dataDxfId="321"/>
    <tableColumn id="2" xr3:uid="{3E9CD3DA-9689-44CB-B197-9D15F9CC6BC2}" name="Type of code" dataDxfId="320"/>
    <tableColumn id="3" xr3:uid="{F1E03447-F69A-4D51-9F35-98CE100E10F1}" name="region" dataDxfId="319"/>
    <tableColumn id="4" xr3:uid="{E72485B1-9268-4CC4-9825-6D3DC277683F}" name="Num.P" dataDxfId="318"/>
    <tableColumn id="5" xr3:uid="{73A5796B-CFAC-405F-8890-D1FF8ACAD855}" name="Dataset size" dataDxfId="317"/>
    <tableColumn id="7" xr3:uid="{2A300B97-6BC0-420A-8F2E-8806080E3EF7}" name="Ex time" dataDxfId="316">
      <calculatedColumnFormula>G9</calculatedColumnFormula>
    </tableColumn>
    <tableColumn id="8" xr3:uid="{C3B09EA6-EDD5-4EEE-B660-61E0928E4B26}" name="Speed Up" dataDxfId="315">
      <calculatedColumnFormula>#REF!/Table131524[[#This Row],[Ex time]]</calculatedColumnFormula>
    </tableColumn>
  </tableColumns>
  <tableStyleInfo name="TableStyleLight1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EF9FEFC-67E8-4DCB-8306-AD761C5C0193}" name="Table1321625" displayName="Table1321625" ref="AI14:AO17" totalsRowShown="0" headerRowDxfId="314" dataDxfId="312" headerRowBorderDxfId="313" tableBorderDxfId="311" totalsRowBorderDxfId="310">
  <autoFilter ref="AI14:AO17" xr:uid="{7A4006F7-A90D-4F59-B977-AD899C269ACB}"/>
  <sortState xmlns:xlrd2="http://schemas.microsoft.com/office/spreadsheetml/2017/richdata2" ref="AI15:AO26">
    <sortCondition ref="AM19:AM28"/>
  </sortState>
  <tableColumns count="7">
    <tableColumn id="1" xr3:uid="{6A2070F3-05FE-4A46-87E1-78523B575CCA}" name="Cluster type" dataDxfId="309"/>
    <tableColumn id="2" xr3:uid="{1BF36DBE-012D-4EED-ADD6-7B0C078DE074}" name="Type of code" dataDxfId="308"/>
    <tableColumn id="3" xr3:uid="{D4192F71-7EDE-4299-85EF-95333774EAC6}" name="region" dataDxfId="307"/>
    <tableColumn id="4" xr3:uid="{88054236-5AD8-4442-AFA7-08AA7D65C918}" name="Num.P" dataDxfId="306"/>
    <tableColumn id="5" xr3:uid="{93010103-DF68-4B1A-9738-D2D62315887E}" name="Dataset size" dataDxfId="305"/>
    <tableColumn id="7" xr3:uid="{FD6C1FFF-CC40-4C5B-BB91-6C51D2439296}" name="Ex time" dataDxfId="304">
      <calculatedColumnFormula>G21</calculatedColumnFormula>
    </tableColumn>
    <tableColumn id="8" xr3:uid="{6A812DAA-0C9C-431E-81C1-E41BE4BECBAB}" name="Efficiency" dataDxfId="303">
      <calculatedColumnFormula>AN9/Table1321625[[#This Row],[Ex time]]</calculatedColumnFormula>
    </tableColumn>
  </tableColumns>
  <tableStyleInfo name="TableStyleLight1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98B8415-EC32-4178-9453-4AE8D8B71778}" name="Table21726" displayName="Table21726" ref="W8:AB20" totalsRowShown="0" headerRowDxfId="302" dataDxfId="301">
  <autoFilter ref="W8:AB20" xr:uid="{49F10111-0E29-4F13-A2AD-B2D25DD3EA98}"/>
  <tableColumns count="6">
    <tableColumn id="1" xr3:uid="{9D1B0788-5256-47AB-BAFB-498376C27392}" name="Cluster type" dataDxfId="300"/>
    <tableColumn id="2" xr3:uid="{28A8BD74-4D55-4164-964C-BC47E2B6ECA2}" name="Type of code" dataDxfId="299"/>
    <tableColumn id="3" xr3:uid="{7FD068CB-7DD7-4851-A79F-A760B55854BC}" name="region" dataDxfId="298"/>
    <tableColumn id="4" xr3:uid="{0AB5A1CD-FA4B-4380-872E-EFD60A0E01D5}" name="Num.P" dataDxfId="297"/>
    <tableColumn id="5" xr3:uid="{EB1F3927-44E9-4B54-B34F-654439662179}" name="Dataset size" dataDxfId="296"/>
    <tableColumn id="6" xr3:uid="{53598569-12EB-472B-BF1D-C8C022C2C357}" name="Ex time" dataDxfId="295">
      <calculatedColumnFormula>G25</calculatedColumnFormula>
    </tableColumn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C6B4F92-A309-4513-AB42-789801E11CD3}" name="Table41827" displayName="Table41827" ref="AI8:AN11" totalsRowShown="0" headerRowDxfId="294" dataDxfId="292" headerRowBorderDxfId="293" tableBorderDxfId="291" totalsRowBorderDxfId="290">
  <autoFilter ref="AI8:AN11" xr:uid="{B9690609-67AF-4EFE-841E-6BA56C9B9669}"/>
  <tableColumns count="6">
    <tableColumn id="1" xr3:uid="{8CA3AAF8-A6C7-4D62-B20A-6CD59F67BD96}" name="Cluster type" dataDxfId="289"/>
    <tableColumn id="2" xr3:uid="{81A74D66-34D3-4F94-9A3A-1DB3E615064F}" name="Type of code" dataDxfId="288"/>
    <tableColumn id="3" xr3:uid="{C5858631-7050-483D-9939-29D93529E595}" name="region" dataDxfId="287"/>
    <tableColumn id="4" xr3:uid="{EDD1C4A7-0980-40A9-A8A4-4CFC7E88A7C8}" name="Num.P" dataDxfId="286"/>
    <tableColumn id="5" xr3:uid="{E749E74B-7F17-4465-9CBE-8B28DA18F012}" name="Dataset size" dataDxfId="285"/>
    <tableColumn id="6" xr3:uid="{C18E0424-0842-4105-B491-58F010880F1C}" name="Ex time" dataDxfId="284">
      <calculatedColumnFormula>G25</calculatedColumnFormula>
    </tableColumn>
  </tableColumns>
  <tableStyleInfo name="TableStyleLight2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7C4242A-C98A-4080-AC2A-14A75D4CC109}" name="Table36710628" displayName="Table36710628" ref="A8:G36" totalsRowShown="0" dataDxfId="283">
  <autoFilter ref="A8:G36" xr:uid="{D6FD8856-A42C-405C-9D69-7BC02139CCF9}"/>
  <tableColumns count="7">
    <tableColumn id="1" xr3:uid="{83A8DD3C-59C6-4414-8832-BC0D3E61F28E}" name="Cluster type" dataDxfId="282"/>
    <tableColumn id="2" xr3:uid="{1233CAB8-358A-41E5-9137-F7EB32A118E9}" name="Type of code" dataDxfId="281"/>
    <tableColumn id="3" xr3:uid="{2ABC4FDC-8B44-439F-B2C8-A557E3F5A6A1}" name="region" dataDxfId="280"/>
    <tableColumn id="4" xr3:uid="{766F22D0-52C4-4793-91E9-92968B0E0B91}" name="Num.P" dataDxfId="279"/>
    <tableColumn id="5" xr3:uid="{ED8E8988-68C3-4110-B5A0-7FF374B5070D}" name="Dataset size" dataDxfId="278"/>
    <tableColumn id="6" xr3:uid="{9102BA20-D0CC-41AB-A990-69669D79F292}" name="scalability" dataDxfId="277"/>
    <tableColumn id="9" xr3:uid="{AD629607-D146-4632-955B-63826BEA9511}" name="Time" dataDxfId="276"/>
  </tableColumns>
  <tableStyleInfo name="TableStyleLight2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F7D8424-416F-472A-9CF0-79C1998113C2}" name="Table711729" displayName="Table711729" ref="I8:M10" totalsRowShown="0" headerRowDxfId="275" dataDxfId="274">
  <autoFilter ref="I8:M10" xr:uid="{13BF77BD-1BF3-4801-8D2D-E2A8B9415528}"/>
  <tableColumns count="5">
    <tableColumn id="1" xr3:uid="{F0ACED45-21A1-441A-BA24-3DE52CE39E17}" name="CORE 40K" dataDxfId="273"/>
    <tableColumn id="2" xr3:uid="{9954AE3B-C0CD-4F9A-ABFE-50D2F59D01DA}" name="core 1" dataDxfId="272"/>
    <tableColumn id="3" xr3:uid="{89DB092B-A495-4EE4-8821-22AD2B641C79}" name="core 2" dataDxfId="271"/>
    <tableColumn id="4" xr3:uid="{B180F94B-8570-4DB6-BAE5-99D73FD27C84}" name="core 4" dataDxfId="270"/>
    <tableColumn id="5" xr3:uid="{75DD18DF-5EBC-40C6-8650-8A97C8147130}" name="core 8" dataDxfId="269"/>
  </tableColumns>
  <tableStyleInfo name="TableStyleLight2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585B237-03AA-4529-AEF0-48033CCA2904}" name="Table7912830" displayName="Table7912830" ref="O8:S10" totalsRowShown="0" headerRowDxfId="268" dataDxfId="267">
  <autoFilter ref="O8:S10" xr:uid="{77FE258F-9384-4524-BD61-AECF5DD3ACB3}"/>
  <tableColumns count="5">
    <tableColumn id="1" xr3:uid="{134DAC4D-368B-476E-9128-FA3EB509F42D}" name="CORE 40K" dataDxfId="266"/>
    <tableColumn id="2" xr3:uid="{CBED4C78-9529-4DDA-ACD7-AAE01371C435}" name="core 1" dataDxfId="265"/>
    <tableColumn id="3" xr3:uid="{6141403E-5172-4234-839A-BACBE73A0111}" name="core 2" dataDxfId="264"/>
    <tableColumn id="4" xr3:uid="{BA016CC5-F8C2-4A4D-AE94-A044BDF960D7}" name="core 4" dataDxfId="263"/>
    <tableColumn id="5" xr3:uid="{230FC520-9E72-4012-AEE9-9867FB4F83FB}" name="core 8" dataDxfId="262"/>
  </tableColumns>
  <tableStyleInfo name="TableStyleLight2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9AA9134-3EB3-46A5-9AE1-F1D8C01B03E7}" name="Table12931" displayName="Table12931" ref="O14:R22" totalsRowShown="0" headerRowDxfId="261" dataDxfId="260">
  <autoFilter ref="O14:R22" xr:uid="{89DBBC8E-8EBB-425D-9300-27769DD7CADB}"/>
  <tableColumns count="4">
    <tableColumn id="1" xr3:uid="{217EF819-45B8-497C-8582-34D5EBAB4D53}" name="Speed Up" dataDxfId="259"/>
    <tableColumn id="2" xr3:uid="{02538F91-9559-48EF-8D65-D484A80CD137}" name="Time" dataDxfId="258"/>
    <tableColumn id="3" xr3:uid="{0F3472C6-DC44-4570-A821-4A42170DADEB}" name="Core" dataDxfId="257"/>
    <tableColumn id="4" xr3:uid="{66017758-4AA0-4C48-A27B-DFB64742BC42}" name="dataset" dataDxfId="256"/>
  </tableColumns>
  <tableStyleInfo name="TableStyleLight2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30717AA-FE85-4708-A431-1D9AA38A1F3F}" name="Table131532" displayName="Table131532" ref="W22:AC34" totalsRowShown="0" headerRowDxfId="255" dataDxfId="253" headerRowBorderDxfId="254" tableBorderDxfId="252" totalsRowBorderDxfId="251">
  <autoFilter ref="W22:AC34" xr:uid="{B52BE444-4067-4694-8F17-9A39CF91A577}"/>
  <sortState xmlns:xlrd2="http://schemas.microsoft.com/office/spreadsheetml/2017/richdata2" ref="W23:AC34">
    <sortCondition ref="AA22:AA34"/>
  </sortState>
  <tableColumns count="7">
    <tableColumn id="1" xr3:uid="{51EAF9D2-E3C0-43BC-A506-AE49431A72C5}" name="Cluster type" dataDxfId="250"/>
    <tableColumn id="2" xr3:uid="{449D49AD-BD06-441D-9347-DE6FA021DF1A}" name="Type of code" dataDxfId="249"/>
    <tableColumn id="3" xr3:uid="{91A18529-8055-44ED-A440-AA57BA7C1162}" name="region" dataDxfId="248"/>
    <tableColumn id="4" xr3:uid="{D0CFFE28-F484-4F45-A2AC-4F01207D2284}" name="Num.P" dataDxfId="247"/>
    <tableColumn id="5" xr3:uid="{022BAA14-E741-4F05-94F9-17AD822D03DB}" name="Dataset size" dataDxfId="246"/>
    <tableColumn id="7" xr3:uid="{F663FFA9-0686-4985-A75A-78547E45B5F6}" name="Ex time" dataDxfId="245">
      <calculatedColumnFormula>G9</calculatedColumnFormula>
    </tableColumn>
    <tableColumn id="8" xr3:uid="{769772F0-2444-47CF-B99E-37223E516873}" name="Speed Up" dataDxfId="244">
      <calculatedColumnFormula>#REF!/Table131532[[#This Row],[Ex time]]</calculatedColumnFormula>
    </tableColumn>
  </tableColumns>
  <tableStyleInfo name="TableStyleLight1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BAD14EC-72CD-42BB-B748-6D90B4993ED0}" name="Table1321633" displayName="Table1321633" ref="AI14:AO17" totalsRowShown="0" headerRowDxfId="243" dataDxfId="241" headerRowBorderDxfId="242" tableBorderDxfId="240" totalsRowBorderDxfId="239">
  <autoFilter ref="AI14:AO17" xr:uid="{7A4006F7-A90D-4F59-B977-AD899C269ACB}"/>
  <sortState xmlns:xlrd2="http://schemas.microsoft.com/office/spreadsheetml/2017/richdata2" ref="AI15:AO26">
    <sortCondition ref="AM19:AM28"/>
  </sortState>
  <tableColumns count="7">
    <tableColumn id="1" xr3:uid="{EA95B12D-3380-428D-A8BE-E560CB48D424}" name="Cluster type" dataDxfId="238"/>
    <tableColumn id="2" xr3:uid="{0D8F46E9-D068-43C8-9242-8DC6D07A1F8C}" name="Type of code" dataDxfId="237"/>
    <tableColumn id="3" xr3:uid="{F90D931B-C072-4B35-A567-91C63B8CBB0D}" name="region" dataDxfId="236"/>
    <tableColumn id="4" xr3:uid="{ABC12FA5-0B14-4D2D-9883-15E3A32D982E}" name="Num.P" dataDxfId="235"/>
    <tableColumn id="5" xr3:uid="{8730FDFA-3AF2-4996-839A-179B6BCD33AD}" name="Dataset size" dataDxfId="234"/>
    <tableColumn id="7" xr3:uid="{63FEEE52-68B5-4308-AC92-4FFFFD7A4ADF}" name="Ex time" dataDxfId="233">
      <calculatedColumnFormula>G21</calculatedColumnFormula>
    </tableColumn>
    <tableColumn id="8" xr3:uid="{5B833E76-F3D5-430B-A318-DCD8CD0FA367}" name="Efficiency" dataDxfId="232">
      <calculatedColumnFormula>AN9/Table1321633[[#This Row],[Ex time]]</calculatedColumnFormula>
    </tableColumn>
  </tableColumns>
  <tableStyleInfo name="TableStyleLight1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F6772BA-D10D-46A7-B216-442F54E74118}" name="Table21734" displayName="Table21734" ref="W8:AB20" totalsRowShown="0" headerRowDxfId="231" dataDxfId="230">
  <autoFilter ref="W8:AB20" xr:uid="{49F10111-0E29-4F13-A2AD-B2D25DD3EA98}"/>
  <tableColumns count="6">
    <tableColumn id="1" xr3:uid="{668769AF-568F-4722-8461-EA54607ED876}" name="Cluster type" dataDxfId="229"/>
    <tableColumn id="2" xr3:uid="{C5F7ECC8-0BFD-46A2-9347-B39F5161ECA4}" name="Type of code" dataDxfId="228"/>
    <tableColumn id="3" xr3:uid="{623E6853-AD1C-4ED5-99DF-DCA1E2B6D1E4}" name="region" dataDxfId="227"/>
    <tableColumn id="4" xr3:uid="{84D26951-AE31-403F-9397-7F25C4D9ACA8}" name="Num.P" dataDxfId="226"/>
    <tableColumn id="5" xr3:uid="{324B539C-9415-43F4-8229-1365B401CF17}" name="Dataset size" dataDxfId="225"/>
    <tableColumn id="6" xr3:uid="{330F4681-BF83-43A2-8038-C3A0C7EC68E4}" name="Ex time" dataDxfId="224">
      <calculatedColumnFormula>G25</calculatedColumnFormula>
    </tableColumn>
  </tableColumns>
  <tableStyleInfo name="TableStyleLight2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E3DA816-265B-4FB2-83D0-E2CD2243BF4E}" name="Table41835" displayName="Table41835" ref="AI8:AN11" totalsRowShown="0" headerRowDxfId="223" dataDxfId="221" headerRowBorderDxfId="222" tableBorderDxfId="220" totalsRowBorderDxfId="219">
  <autoFilter ref="AI8:AN11" xr:uid="{B9690609-67AF-4EFE-841E-6BA56C9B9669}"/>
  <tableColumns count="6">
    <tableColumn id="1" xr3:uid="{D95984C3-37EC-4B28-A349-FF3A425EEA6F}" name="Cluster type" dataDxfId="218"/>
    <tableColumn id="2" xr3:uid="{5E774D75-4FF0-442C-8300-11E6CC81EA1A}" name="Type of code" dataDxfId="217"/>
    <tableColumn id="3" xr3:uid="{23DB6D41-880C-412C-A8A4-6A2004F7B9BD}" name="region" dataDxfId="216"/>
    <tableColumn id="4" xr3:uid="{1B6EBFE2-CB11-4A2C-A137-B5A392A5BEBB}" name="Num.P" dataDxfId="215"/>
    <tableColumn id="5" xr3:uid="{1F287C9A-28F0-4207-954D-1C19F3226AC0}" name="Dataset size" dataDxfId="214"/>
    <tableColumn id="6" xr3:uid="{A854458A-2F08-4ED1-BAB9-6707102010C9}" name="Ex time" dataDxfId="213">
      <calculatedColumnFormula>G25</calculatedColumnFormula>
    </tableColumn>
  </tableColumns>
  <tableStyleInfo name="TableStyleLight2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B90240E-1AC1-48CE-9AF5-18FDB75869BE}" name="Table3671062036" displayName="Table3671062036" ref="A8:G36" totalsRowShown="0" dataDxfId="212">
  <autoFilter ref="A8:G36" xr:uid="{D6FD8856-A42C-405C-9D69-7BC02139CCF9}"/>
  <tableColumns count="7">
    <tableColumn id="1" xr3:uid="{685E7002-8480-4738-88B9-C8E11183956D}" name="Cluster type" dataDxfId="211"/>
    <tableColumn id="2" xr3:uid="{9F958EA2-2B76-4C25-8398-4AFDDEC64D46}" name="Type of code" dataDxfId="210"/>
    <tableColumn id="3" xr3:uid="{FE880184-AE0C-4FAF-9D9B-FAE711D8CFC0}" name="region" dataDxfId="209"/>
    <tableColumn id="4" xr3:uid="{4F5F5FC0-56AD-444E-A128-2848E78CC2DE}" name="Num.P" dataDxfId="208"/>
    <tableColumn id="5" xr3:uid="{A5076D44-710D-4EB2-B1AE-2DBD44F361D7}" name="Dataset size" dataDxfId="207"/>
    <tableColumn id="6" xr3:uid="{17959E7C-C396-44E1-883A-4B9214B4AC89}" name="scalability" dataDxfId="206"/>
    <tableColumn id="9" xr3:uid="{493D1266-6612-45AA-B341-29600BD3EE6C}" name="Time" dataDxfId="205"/>
  </tableColumns>
  <tableStyleInfo name="TableStyleLight2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F33DB70-F703-44B4-9661-22822369F2E7}" name="Table71172137" displayName="Table71172137" ref="I8:M10" totalsRowShown="0" headerRowDxfId="204" dataDxfId="203">
  <autoFilter ref="I8:M10" xr:uid="{13BF77BD-1BF3-4801-8D2D-E2A8B9415528}"/>
  <tableColumns count="5">
    <tableColumn id="1" xr3:uid="{004774FA-B971-412E-8F39-A7BB49B7380C}" name="CORE 40K" dataDxfId="202"/>
    <tableColumn id="2" xr3:uid="{BAA25145-9D25-4CBB-A911-D2ED445CB868}" name="core 1" dataDxfId="201"/>
    <tableColumn id="3" xr3:uid="{782C3320-1223-4F5B-9CC0-4FBC33E76271}" name="core 2" dataDxfId="200"/>
    <tableColumn id="4" xr3:uid="{95868045-23F3-4119-8C51-FF443E38419D}" name="core 4" dataDxfId="199"/>
    <tableColumn id="5" xr3:uid="{435A39E6-2C56-4879-A4C7-49349078BD2E}" name="core 8" dataDxfId="198"/>
  </tableColumns>
  <tableStyleInfo name="TableStyleLight2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00A1076-DBD8-4DD2-96E4-7B4B939C3F33}" name="Table791282238" displayName="Table791282238" ref="O8:S10" totalsRowShown="0" headerRowDxfId="197" dataDxfId="196">
  <autoFilter ref="O8:S10" xr:uid="{77FE258F-9384-4524-BD61-AECF5DD3ACB3}"/>
  <tableColumns count="5">
    <tableColumn id="1" xr3:uid="{D6BE7734-512F-4E30-92C4-3271D5AC4DE6}" name="CORE 40K" dataDxfId="195"/>
    <tableColumn id="2" xr3:uid="{DD611A3E-1DC5-4A24-A214-E900B9DBFAA6}" name="core 1" dataDxfId="194"/>
    <tableColumn id="3" xr3:uid="{DE9FA070-C364-40D4-9A1B-80B523A163C8}" name="core 2" dataDxfId="193"/>
    <tableColumn id="4" xr3:uid="{772E6056-DC9F-4F76-8276-11DB97EA34F7}" name="core 4" dataDxfId="192"/>
    <tableColumn id="5" xr3:uid="{411B586B-B0D5-4757-84F1-CB1B01696C66}" name="core 8" dataDxfId="191"/>
  </tableColumns>
  <tableStyleInfo name="TableStyleLight2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A9228D1-741E-4BAB-A742-14302B665E03}" name="Table1292339" displayName="Table1292339" ref="O14:R22" totalsRowShown="0" headerRowDxfId="190" dataDxfId="189">
  <autoFilter ref="O14:R22" xr:uid="{89DBBC8E-8EBB-425D-9300-27769DD7CADB}"/>
  <tableColumns count="4">
    <tableColumn id="1" xr3:uid="{9247819D-064E-44C8-A70A-E17174EB81D0}" name="Speed Up" dataDxfId="188"/>
    <tableColumn id="2" xr3:uid="{87E0F50D-21D0-4658-9339-70F1D1C29C7B}" name="Time" dataDxfId="187"/>
    <tableColumn id="3" xr3:uid="{AF8F2D25-7607-48FA-B320-1DCCA0F33730}" name="Core" dataDxfId="186"/>
    <tableColumn id="4" xr3:uid="{CF26E54F-6A34-494B-BB3A-2A0A43511770}" name="dataset" dataDxfId="185"/>
  </tableColumns>
  <tableStyleInfo name="TableStyleLight2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044A0B6-91F6-472B-9EE1-48A38700F00B}" name="Table13152440" displayName="Table13152440" ref="W22:AC34" totalsRowShown="0" headerRowDxfId="184" dataDxfId="182" headerRowBorderDxfId="183" tableBorderDxfId="181" totalsRowBorderDxfId="180">
  <autoFilter ref="W22:AC34" xr:uid="{B52BE444-4067-4694-8F17-9A39CF91A577}"/>
  <sortState xmlns:xlrd2="http://schemas.microsoft.com/office/spreadsheetml/2017/richdata2" ref="W23:AC34">
    <sortCondition ref="AA22:AA34"/>
  </sortState>
  <tableColumns count="7">
    <tableColumn id="1" xr3:uid="{C18E861A-AD28-4066-AF34-9000B00C9DF3}" name="Cluster type" dataDxfId="179"/>
    <tableColumn id="2" xr3:uid="{CDFF7B33-48EC-4876-BECD-0FD07CC5EE36}" name="Type of code" dataDxfId="178"/>
    <tableColumn id="3" xr3:uid="{254B26D4-EFC0-4271-BC5C-D2C0D8E3E6D4}" name="region" dataDxfId="177"/>
    <tableColumn id="4" xr3:uid="{59B41C22-4DDF-4427-80B8-EF5A93B8AF37}" name="Num.P" dataDxfId="176"/>
    <tableColumn id="5" xr3:uid="{42AA5F02-3B88-41EC-B304-BFFFE7A6C45F}" name="Dataset size" dataDxfId="175"/>
    <tableColumn id="7" xr3:uid="{20460D44-FEC7-4D61-8AC6-BD5C872D3B67}" name="Ex time" dataDxfId="174">
      <calculatedColumnFormula>G9</calculatedColumnFormula>
    </tableColumn>
    <tableColumn id="8" xr3:uid="{E61144C9-B7C6-44D9-A5EE-D780420FBC82}" name="Speed Up" dataDxfId="173">
      <calculatedColumnFormula>#REF!/Table13152440[[#This Row],[Ex time]]</calculatedColumnFormula>
    </tableColumn>
  </tableColumns>
  <tableStyleInfo name="TableStyleLight1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A025F46-7595-4E69-BF55-4B54F8BC09B7}" name="Table132162541" displayName="Table132162541" ref="AI14:AO17" totalsRowShown="0" headerRowDxfId="172" dataDxfId="170" headerRowBorderDxfId="171" tableBorderDxfId="169" totalsRowBorderDxfId="168">
  <autoFilter ref="AI14:AO17" xr:uid="{7A4006F7-A90D-4F59-B977-AD899C269ACB}"/>
  <sortState xmlns:xlrd2="http://schemas.microsoft.com/office/spreadsheetml/2017/richdata2" ref="AI15:AO26">
    <sortCondition ref="AM19:AM28"/>
  </sortState>
  <tableColumns count="7">
    <tableColumn id="1" xr3:uid="{D21B43A4-A578-43EB-8B3A-CE9D6845337F}" name="Cluster type" dataDxfId="167"/>
    <tableColumn id="2" xr3:uid="{EC5EEC04-C5A2-4881-8786-3D5064C7518D}" name="Type of code" dataDxfId="166"/>
    <tableColumn id="3" xr3:uid="{37617879-FE7A-4A47-9390-6CB77BCF7921}" name="region" dataDxfId="165"/>
    <tableColumn id="4" xr3:uid="{222CB33D-580F-4509-AD7E-2821035F47A7}" name="Num.P" dataDxfId="164"/>
    <tableColumn id="5" xr3:uid="{21EB129F-A180-4A84-81BB-6F4792CAD2B6}" name="Dataset size" dataDxfId="163"/>
    <tableColumn id="7" xr3:uid="{87E464B7-0FC9-463C-B567-A9B9701387D5}" name="Ex time" dataDxfId="162">
      <calculatedColumnFormula>G21</calculatedColumnFormula>
    </tableColumn>
    <tableColumn id="8" xr3:uid="{F722EA49-3587-4966-A991-F7ED2748D880}" name="Efficiency" dataDxfId="161">
      <calculatedColumnFormula>AN9/Table132162541[[#This Row],[Ex time]]</calculatedColumnFormula>
    </tableColumn>
  </tableColumns>
  <tableStyleInfo name="TableStyleLight1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5F5C479-FCB3-4BC3-A7EB-5BF70D997257}" name="Table2172642" displayName="Table2172642" ref="W8:AB20" totalsRowShown="0" headerRowDxfId="160" dataDxfId="159">
  <autoFilter ref="W8:AB20" xr:uid="{49F10111-0E29-4F13-A2AD-B2D25DD3EA98}"/>
  <tableColumns count="6">
    <tableColumn id="1" xr3:uid="{6AA7F2C0-D9E8-443C-BDF1-96E4DE4754A5}" name="Cluster type" dataDxfId="158"/>
    <tableColumn id="2" xr3:uid="{7110B53F-97E4-4C23-8D6D-285ACB497596}" name="Type of code" dataDxfId="157"/>
    <tableColumn id="3" xr3:uid="{6A6539C6-CFC3-47F2-B7B6-997D57A1F6EC}" name="region" dataDxfId="156"/>
    <tableColumn id="4" xr3:uid="{F8C48996-19F3-4400-B823-0A6E50DE8C50}" name="Num.P" dataDxfId="155"/>
    <tableColumn id="5" xr3:uid="{89033578-53CC-4D7D-9855-FC51A853AB8B}" name="Dataset size" dataDxfId="154"/>
    <tableColumn id="6" xr3:uid="{0B96D08C-7E31-491C-916B-873CBA4E8A59}" name="Ex time" dataDxfId="153">
      <calculatedColumnFormula>G25</calculatedColumnFormula>
    </tableColumn>
  </tableColumns>
  <tableStyleInfo name="TableStyleLight2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5D4B92-5108-4249-AC10-36119A77A9F3}" name="Table4182743" displayName="Table4182743" ref="AI8:AN11" totalsRowShown="0" headerRowDxfId="152" dataDxfId="150" headerRowBorderDxfId="151" tableBorderDxfId="149" totalsRowBorderDxfId="148">
  <autoFilter ref="AI8:AN11" xr:uid="{B9690609-67AF-4EFE-841E-6BA56C9B9669}"/>
  <tableColumns count="6">
    <tableColumn id="1" xr3:uid="{F8EA6748-572D-4556-A77D-4574A592DE78}" name="Cluster type" dataDxfId="147"/>
    <tableColumn id="2" xr3:uid="{0AB58CC3-0C23-4D13-A1E7-47AF53A3FC19}" name="Type of code" dataDxfId="146"/>
    <tableColumn id="3" xr3:uid="{10212D36-64D7-4A3E-ACEC-B14DA0322A30}" name="region" dataDxfId="145"/>
    <tableColumn id="4" xr3:uid="{37B1B444-3CC3-41AB-897A-4326C10CF436}" name="Num.P" dataDxfId="144"/>
    <tableColumn id="5" xr3:uid="{077D1BF1-CC62-42B0-B5F0-CA9A661FFA75}" name="Dataset size" dataDxfId="143"/>
    <tableColumn id="6" xr3:uid="{E1938439-18E0-4020-A369-3EC1A8B9383E}" name="Ex time" dataDxfId="142">
      <calculatedColumnFormula>G25</calculatedColumnFormula>
    </tableColumn>
  </tableColumns>
  <tableStyleInfo name="TableStyleLight2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64867B7-BC33-4D10-9554-A16DA550622C}" name="Table3671062819" displayName="Table3671062819" ref="A8:G36" totalsRowShown="0" dataDxfId="141">
  <autoFilter ref="A8:G36" xr:uid="{D6FD8856-A42C-405C-9D69-7BC02139CCF9}"/>
  <tableColumns count="7">
    <tableColumn id="1" xr3:uid="{C0202276-4C7A-4BC3-BCB1-30DC9332BA1B}" name="Cluster type" dataDxfId="140"/>
    <tableColumn id="2" xr3:uid="{D219DFE5-D218-4E26-8414-2283B448510D}" name="Type of code" dataDxfId="139"/>
    <tableColumn id="3" xr3:uid="{18198E3C-0300-4296-AB17-4FDFF867D96C}" name="region" dataDxfId="138"/>
    <tableColumn id="4" xr3:uid="{952D2982-523E-441B-9EFB-B9549C39938B}" name="Num.P" dataDxfId="137"/>
    <tableColumn id="5" xr3:uid="{5B23F615-2488-42D9-BADC-A50BE3698C17}" name="Dataset size" dataDxfId="136"/>
    <tableColumn id="6" xr3:uid="{FA12B9E9-0D2E-4941-93B6-6B6E28EB50CE}" name="scalability" dataDxfId="135"/>
    <tableColumn id="9" xr3:uid="{3A6FD534-C9BC-4C23-87DF-D706145957F8}" name="Time" dataDxfId="134"/>
  </tableColumns>
  <tableStyleInfo name="TableStyleLight2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3ED0385-7492-45F8-8A05-18A6B84919F2}" name="Table71172944" displayName="Table71172944" ref="I8:M10" totalsRowShown="0" headerRowDxfId="133" dataDxfId="132">
  <autoFilter ref="I8:M10" xr:uid="{13BF77BD-1BF3-4801-8D2D-E2A8B9415528}"/>
  <tableColumns count="5">
    <tableColumn id="1" xr3:uid="{4B289434-D0C6-4D3E-9245-8EB0117BE1CD}" name="CORE 40K" dataDxfId="131"/>
    <tableColumn id="2" xr3:uid="{2718BAD7-3907-4130-9844-CC0713AA6D2D}" name="core 1" dataDxfId="130"/>
    <tableColumn id="3" xr3:uid="{577150E9-7A53-4519-B0A9-2C8325178F58}" name="core 2" dataDxfId="129"/>
    <tableColumn id="4" xr3:uid="{16605A51-4778-410A-94F5-23871DA4970C}" name="core 4" dataDxfId="128"/>
    <tableColumn id="5" xr3:uid="{0C3D08EF-5C86-4D38-90D6-7C51B6130630}" name="core 8" dataDxfId="127"/>
  </tableColumns>
  <tableStyleInfo name="TableStyleLight2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C104BD9-6FD4-43DF-83B1-E2E0EEECCC51}" name="Table791283045" displayName="Table791283045" ref="O8:S10" totalsRowShown="0" headerRowDxfId="126" dataDxfId="125">
  <autoFilter ref="O8:S10" xr:uid="{77FE258F-9384-4524-BD61-AECF5DD3ACB3}"/>
  <tableColumns count="5">
    <tableColumn id="1" xr3:uid="{7154AAB2-880B-48BD-B1D6-4CBB36D8A400}" name="CORE 40K" dataDxfId="124"/>
    <tableColumn id="2" xr3:uid="{1A56506B-9944-4710-881E-5B309100B071}" name="core 1" dataDxfId="123"/>
    <tableColumn id="3" xr3:uid="{6301B1B3-B472-4737-9BC0-AD7AA65309E3}" name="core 2" dataDxfId="122"/>
    <tableColumn id="4" xr3:uid="{D0646A02-3D4C-42B4-BD77-06B5306B79D4}" name="core 4" dataDxfId="121"/>
    <tableColumn id="5" xr3:uid="{331AD9CA-1225-4D4F-8FB0-B0092F108DBA}" name="core 8" dataDxfId="120"/>
  </tableColumns>
  <tableStyleInfo name="TableStyleLight2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C3ADAED-2497-4184-89CD-16A479EA159B}" name="Table1293146" displayName="Table1293146" ref="O14:R22" totalsRowShown="0" headerRowDxfId="119" dataDxfId="118">
  <autoFilter ref="O14:R22" xr:uid="{89DBBC8E-8EBB-425D-9300-27769DD7CADB}"/>
  <tableColumns count="4">
    <tableColumn id="1" xr3:uid="{03AA0312-C8F6-4AE1-9EF9-689212C2CF82}" name="Speed Up" dataDxfId="117"/>
    <tableColumn id="2" xr3:uid="{00E55A9D-8637-4C54-A4E2-27AB300D034D}" name="Time" dataDxfId="116"/>
    <tableColumn id="3" xr3:uid="{5F22E300-8AF0-4AAF-A7CD-FC8517F18BB0}" name="Core" dataDxfId="115"/>
    <tableColumn id="4" xr3:uid="{E345FB95-EE05-4E04-B484-86746046421A}" name="dataset" dataDxfId="114"/>
  </tableColumns>
  <tableStyleInfo name="TableStyleLight2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C921CC3-E132-45C5-B271-233A7BF8C42F}" name="Table13153247" displayName="Table13153247" ref="W22:AC34" totalsRowShown="0" headerRowDxfId="113" dataDxfId="111" headerRowBorderDxfId="112" tableBorderDxfId="110" totalsRowBorderDxfId="109">
  <autoFilter ref="W22:AC34" xr:uid="{B52BE444-4067-4694-8F17-9A39CF91A577}"/>
  <sortState xmlns:xlrd2="http://schemas.microsoft.com/office/spreadsheetml/2017/richdata2" ref="W23:AC34">
    <sortCondition ref="AA22:AA34"/>
  </sortState>
  <tableColumns count="7">
    <tableColumn id="1" xr3:uid="{5EAEB89C-DF97-4897-8D0B-3F8FF5013982}" name="Cluster type" dataDxfId="108"/>
    <tableColumn id="2" xr3:uid="{9E9F125E-5D3D-4077-AB23-8350E3E894EE}" name="Type of code" dataDxfId="107"/>
    <tableColumn id="3" xr3:uid="{A45AF3EF-CF77-42B8-935B-182427DC1799}" name="region" dataDxfId="106"/>
    <tableColumn id="4" xr3:uid="{3545B962-FF45-4972-A06D-DCCB4A85EC60}" name="Num.P" dataDxfId="105"/>
    <tableColumn id="5" xr3:uid="{ABB35506-A841-4099-8ACB-DDC376DBBF5B}" name="Dataset size" dataDxfId="104"/>
    <tableColumn id="7" xr3:uid="{320ABF72-EF3D-4A91-8BD3-370F7F294CCA}" name="Ex time" dataDxfId="103">
      <calculatedColumnFormula>G9</calculatedColumnFormula>
    </tableColumn>
    <tableColumn id="8" xr3:uid="{34EA42AF-DA53-4C47-A743-0F7E10824EEF}" name="Speed Up" dataDxfId="102">
      <calculatedColumnFormula>#REF!/Table13153247[[#This Row],[Ex time]]</calculatedColumnFormula>
    </tableColumn>
  </tableColumns>
  <tableStyleInfo name="TableStyleLight1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6686719C-AE57-4C4F-BF1F-E0473DAA11D3}" name="Table132163348" displayName="Table132163348" ref="AI14:AO17" totalsRowShown="0" headerRowDxfId="101" dataDxfId="99" headerRowBorderDxfId="100" tableBorderDxfId="98" totalsRowBorderDxfId="97">
  <autoFilter ref="AI14:AO17" xr:uid="{7A4006F7-A90D-4F59-B977-AD899C269ACB}"/>
  <sortState xmlns:xlrd2="http://schemas.microsoft.com/office/spreadsheetml/2017/richdata2" ref="AI15:AO26">
    <sortCondition ref="AM19:AM28"/>
  </sortState>
  <tableColumns count="7">
    <tableColumn id="1" xr3:uid="{020830A5-B310-44DE-91CB-0E868EB98948}" name="Cluster type" dataDxfId="96"/>
    <tableColumn id="2" xr3:uid="{9F1E8621-A98F-4A3D-B8E3-A1B0AC0467BC}" name="Type of code" dataDxfId="95"/>
    <tableColumn id="3" xr3:uid="{9A21EEB9-8AE9-4AB1-A211-C3A3D98428F2}" name="region" dataDxfId="94"/>
    <tableColumn id="4" xr3:uid="{BA6A6615-A267-40F9-8185-309942AF54AF}" name="Num.P" dataDxfId="93"/>
    <tableColumn id="5" xr3:uid="{CB001EEE-7680-46F9-A265-185AEC4F8458}" name="Dataset size" dataDxfId="92"/>
    <tableColumn id="7" xr3:uid="{DF1AC36F-8AA7-457B-925A-F31869BE33AC}" name="Ex time" dataDxfId="91">
      <calculatedColumnFormula>G21</calculatedColumnFormula>
    </tableColumn>
    <tableColumn id="8" xr3:uid="{13E61559-F277-44D2-AE37-6B15335C9B51}" name="Efficiency" dataDxfId="90">
      <calculatedColumnFormula>AN9/Table132163348[[#This Row],[Ex time]]</calculatedColumnFormula>
    </tableColumn>
  </tableColumns>
  <tableStyleInfo name="TableStyleLight1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63A7FED-57F4-40A0-8513-EB374B6B0A58}" name="Table2173449" displayName="Table2173449" ref="W8:AB20" totalsRowShown="0" headerRowDxfId="89" dataDxfId="88">
  <autoFilter ref="W8:AB20" xr:uid="{49F10111-0E29-4F13-A2AD-B2D25DD3EA98}"/>
  <tableColumns count="6">
    <tableColumn id="1" xr3:uid="{560B0ACB-D7EE-4AE9-A8E4-1757015B6442}" name="Cluster type" dataDxfId="87"/>
    <tableColumn id="2" xr3:uid="{3A175E4C-374D-4FAE-B4A3-5C7FED42AFCA}" name="Type of code" dataDxfId="86"/>
    <tableColumn id="3" xr3:uid="{313AF8E0-78E5-4F78-901C-255A4D1D6BBA}" name="region" dataDxfId="85"/>
    <tableColumn id="4" xr3:uid="{F69A557B-E708-42B5-B6AE-948C00D8D278}" name="Num.P" dataDxfId="84"/>
    <tableColumn id="5" xr3:uid="{BC8DBD47-BEF6-4F3B-8E13-D118A19E4EF9}" name="Dataset size" dataDxfId="83"/>
    <tableColumn id="6" xr3:uid="{84E20885-87AD-4A72-B020-A534D439F632}" name="Ex time" dataDxfId="82">
      <calculatedColumnFormula>G25</calculatedColumnFormula>
    </tableColumn>
  </tableColumns>
  <tableStyleInfo name="TableStyleLight2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E90B7C0-B1BE-42A2-92C1-D0D77C32E3AC}" name="Table4183550" displayName="Table4183550" ref="AI8:AN11" totalsRowShown="0" headerRowDxfId="81" dataDxfId="79" headerRowBorderDxfId="80" tableBorderDxfId="78" totalsRowBorderDxfId="77">
  <autoFilter ref="AI8:AN11" xr:uid="{B9690609-67AF-4EFE-841E-6BA56C9B9669}"/>
  <tableColumns count="6">
    <tableColumn id="1" xr3:uid="{3744AF09-5AD3-4CF7-BFED-92BF274AC202}" name="Cluster type" dataDxfId="76"/>
    <tableColumn id="2" xr3:uid="{EF1E04D5-61D1-401D-B968-1D69DAB9DC61}" name="Type of code" dataDxfId="75"/>
    <tableColumn id="3" xr3:uid="{329F1EF0-14B2-4B81-8931-1DB6AF0C5CA4}" name="region" dataDxfId="74"/>
    <tableColumn id="4" xr3:uid="{1305F486-C6A3-4440-A8C6-721124C15598}" name="Num.P" dataDxfId="73"/>
    <tableColumn id="5" xr3:uid="{0D31DC33-AF6A-4109-8B18-C5453FB2D62C}" name="Dataset size" dataDxfId="72"/>
    <tableColumn id="6" xr3:uid="{279E97A0-D07E-4B60-A307-EA372BCDA32A}" name="Ex time" dataDxfId="71">
      <calculatedColumnFormula>G25</calculatedColumnFormula>
    </tableColumn>
  </tableColumns>
  <tableStyleInfo name="TableStyleLight2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3601689-4306-49EF-BC1B-8F9CB43FB8CF}" name="Table367106203651" displayName="Table367106203651" ref="A8:G36" totalsRowShown="0" dataDxfId="70">
  <autoFilter ref="A8:G36" xr:uid="{D6FD8856-A42C-405C-9D69-7BC02139CCF9}"/>
  <tableColumns count="7">
    <tableColumn id="1" xr3:uid="{3AC380F0-7E60-49DB-A60F-9B6C09C46FD2}" name="Cluster type" dataDxfId="69"/>
    <tableColumn id="2" xr3:uid="{77B81BE4-F773-4B24-9A8B-4E191BF921B8}" name="Type of code" dataDxfId="68"/>
    <tableColumn id="3" xr3:uid="{39E9F2CE-48C0-49E4-9FEE-A1A6739B9604}" name="region" dataDxfId="67"/>
    <tableColumn id="4" xr3:uid="{2F30932E-2F12-4A70-93C7-44574B6EAE33}" name="Num.P" dataDxfId="66"/>
    <tableColumn id="5" xr3:uid="{CB34FE31-F413-46D0-B582-76DA1C22880A}" name="Dataset size" dataDxfId="65"/>
    <tableColumn id="6" xr3:uid="{D021587D-A578-47AC-A72F-D3875EED8B44}" name="scalability" dataDxfId="64"/>
    <tableColumn id="9" xr3:uid="{34FFAB59-861D-42FD-828F-95FE17BE6FA6}" name="Time" dataDxfId="63"/>
  </tableColumns>
  <tableStyleInfo name="TableStyleLight2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EBDDA532-80AA-4557-A6C3-79242C3C280D}" name="Table7117213752" displayName="Table7117213752" ref="I8:M10" totalsRowShown="0" headerRowDxfId="62" dataDxfId="61">
  <autoFilter ref="I8:M10" xr:uid="{13BF77BD-1BF3-4801-8D2D-E2A8B9415528}"/>
  <tableColumns count="5">
    <tableColumn id="1" xr3:uid="{CD8975B4-9F27-44CD-ADB2-83603858EAC5}" name="CORE 40K" dataDxfId="60"/>
    <tableColumn id="2" xr3:uid="{013562D7-4362-44A7-9CE0-502A6737A195}" name="core 1" dataDxfId="59"/>
    <tableColumn id="3" xr3:uid="{273D2C95-A897-4706-B85E-2DBB0D03FF68}" name="core 2" dataDxfId="58"/>
    <tableColumn id="4" xr3:uid="{0340121D-D858-41FB-9C90-C54C75ECBB74}" name="core 4" dataDxfId="57"/>
    <tableColumn id="5" xr3:uid="{1FFBCB34-B028-4B5F-9562-335B89BD790F}" name="core 8" dataDxfId="56"/>
  </tableColumns>
  <tableStyleInfo name="TableStyleLight2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EA1760-36BF-4147-AFA8-2056808DA556}" name="Table79128223853" displayName="Table79128223853" ref="O8:S10" totalsRowShown="0" headerRowDxfId="55" dataDxfId="54">
  <autoFilter ref="O8:S10" xr:uid="{77FE258F-9384-4524-BD61-AECF5DD3ACB3}"/>
  <tableColumns count="5">
    <tableColumn id="1" xr3:uid="{37C64977-C615-4351-AE70-8684892D79CA}" name="CORE 40K" dataDxfId="53"/>
    <tableColumn id="2" xr3:uid="{9DD2CF62-276E-4B91-B15E-00E8C9F98285}" name="core 1" dataDxfId="52"/>
    <tableColumn id="3" xr3:uid="{12A1FA25-1AF2-4C15-A59B-6D6F561B8748}" name="core 2" dataDxfId="51"/>
    <tableColumn id="4" xr3:uid="{961744AE-D7A8-4262-9990-1FD7F5882231}" name="core 4" dataDxfId="50"/>
    <tableColumn id="5" xr3:uid="{1A01A34A-854E-4D8B-845D-2613584164C6}" name="core 8" dataDxfId="49"/>
  </tableColumns>
  <tableStyleInfo name="TableStyleLight2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E65CDAA-14D0-42D0-815F-B6351FFC47BB}" name="Table129233954" displayName="Table129233954" ref="O14:R22" totalsRowShown="0" headerRowDxfId="48" dataDxfId="47">
  <autoFilter ref="O14:R22" xr:uid="{89DBBC8E-8EBB-425D-9300-27769DD7CADB}"/>
  <tableColumns count="4">
    <tableColumn id="1" xr3:uid="{BFB78272-E46A-44B2-B5FE-A68B0A00B9C1}" name="Speed Up" dataDxfId="46"/>
    <tableColumn id="2" xr3:uid="{EB16784C-AC07-4D69-A493-C6297502892C}" name="Time" dataDxfId="45"/>
    <tableColumn id="3" xr3:uid="{2F7FCC68-4F61-4D11-85CC-8ADEB4B79218}" name="Core" dataDxfId="44"/>
    <tableColumn id="4" xr3:uid="{A7C318AF-3651-4CD0-BCF5-F984821B6E36}" name="dataset" dataDxfId="43"/>
  </tableColumns>
  <tableStyleInfo name="TableStyleLight2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14F7930-74E5-40FF-94D7-77B8841AE740}" name="Table1315244055" displayName="Table1315244055" ref="W22:AC34" totalsRowShown="0" headerRowDxfId="42" dataDxfId="40" headerRowBorderDxfId="41" tableBorderDxfId="39" totalsRowBorderDxfId="38">
  <autoFilter ref="W22:AC34" xr:uid="{B52BE444-4067-4694-8F17-9A39CF91A577}"/>
  <sortState xmlns:xlrd2="http://schemas.microsoft.com/office/spreadsheetml/2017/richdata2" ref="W23:AC34">
    <sortCondition ref="AA22:AA34"/>
  </sortState>
  <tableColumns count="7">
    <tableColumn id="1" xr3:uid="{9A67AD95-1FB8-4758-AA3E-7EE55B1EB903}" name="Cluster type" dataDxfId="37"/>
    <tableColumn id="2" xr3:uid="{A35FF58B-F7E2-41AC-A2FC-F0597456AA1B}" name="Type of code" dataDxfId="36"/>
    <tableColumn id="3" xr3:uid="{AB1FB2AC-75FC-4514-A19C-DF724A5E3890}" name="region" dataDxfId="35"/>
    <tableColumn id="4" xr3:uid="{CEAFEAB8-5BAC-4065-B884-2AA49F0698E0}" name="Num.P" dataDxfId="34"/>
    <tableColumn id="5" xr3:uid="{8D84D0D7-5840-4A0B-8175-FFEF533580C5}" name="Dataset size" dataDxfId="33"/>
    <tableColumn id="7" xr3:uid="{582DB742-9C25-4DE9-993A-D6EFA79C438A}" name="Ex time" dataDxfId="32">
      <calculatedColumnFormula>G9</calculatedColumnFormula>
    </tableColumn>
    <tableColumn id="8" xr3:uid="{DE301C4C-437A-41FB-A942-434A6E988B16}" name="Speed Up" dataDxfId="31">
      <calculatedColumnFormula>#REF!/Table1315244055[[#This Row],[Ex time]]</calculatedColumnFormula>
    </tableColumn>
  </tableColumns>
  <tableStyleInfo name="TableStyleLight1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3AA293A-566A-4726-BFA5-637E87DD4BF8}" name="Table13216254156" displayName="Table13216254156" ref="AI14:AO17" totalsRowShown="0" headerRowDxfId="30" dataDxfId="28" headerRowBorderDxfId="29" tableBorderDxfId="27" totalsRowBorderDxfId="26">
  <autoFilter ref="AI14:AO17" xr:uid="{7A4006F7-A90D-4F59-B977-AD899C269ACB}"/>
  <sortState xmlns:xlrd2="http://schemas.microsoft.com/office/spreadsheetml/2017/richdata2" ref="AI15:AO26">
    <sortCondition ref="AM19:AM28"/>
  </sortState>
  <tableColumns count="7">
    <tableColumn id="1" xr3:uid="{CA0F80AF-AF08-4CDE-806C-4C81BD0094AD}" name="Cluster type" dataDxfId="25"/>
    <tableColumn id="2" xr3:uid="{1B5A8329-F0C5-48B7-BD48-B395C3BBAB82}" name="Type of code" dataDxfId="24"/>
    <tableColumn id="3" xr3:uid="{8535B835-1674-48FD-8FED-D246A8E0AC89}" name="region" dataDxfId="23"/>
    <tableColumn id="4" xr3:uid="{A60C818B-F3F2-4B17-8B71-D5768B38CBCA}" name="Num.P" dataDxfId="22"/>
    <tableColumn id="5" xr3:uid="{F444CA7C-EA3F-436E-9E8F-91DFA3A76A56}" name="Dataset size" dataDxfId="21"/>
    <tableColumn id="7" xr3:uid="{D8929D70-0515-403B-ACFF-0E00D6405403}" name="Ex time" dataDxfId="20">
      <calculatedColumnFormula>G21</calculatedColumnFormula>
    </tableColumn>
    <tableColumn id="8" xr3:uid="{F7C169B8-A081-448C-A634-8F6ED3579839}" name="Efficiency" dataDxfId="19">
      <calculatedColumnFormula>AN9/Table13216254156[[#This Row],[Ex time]]</calculatedColumnFormula>
    </tableColumn>
  </tableColumns>
  <tableStyleInfo name="TableStyleLight1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F79E46E-7750-4F69-A196-F5B3B795854C}" name="Table217264257" displayName="Table217264257" ref="W8:AB20" totalsRowShown="0" headerRowDxfId="18" dataDxfId="17">
  <autoFilter ref="W8:AB20" xr:uid="{49F10111-0E29-4F13-A2AD-B2D25DD3EA98}"/>
  <tableColumns count="6">
    <tableColumn id="1" xr3:uid="{9CEBD69A-3ED7-4633-BFA6-0949287ED875}" name="Cluster type" dataDxfId="16"/>
    <tableColumn id="2" xr3:uid="{290021A5-EDD3-4BC0-9D3D-3C9E9E1B769A}" name="Type of code" dataDxfId="15"/>
    <tableColumn id="3" xr3:uid="{34AE16F3-185B-437D-92F0-E1605372F1D3}" name="region" dataDxfId="14"/>
    <tableColumn id="4" xr3:uid="{AB5B5968-784C-46AD-AEE9-5D544BE04A41}" name="Num.P" dataDxfId="13"/>
    <tableColumn id="5" xr3:uid="{87314F5A-00FD-403E-9698-D60AFB62F08F}" name="Dataset size" dataDxfId="12"/>
    <tableColumn id="6" xr3:uid="{4BA96FD6-34B8-4971-AAB1-C7C079C11059}" name="Ex time" dataDxfId="11">
      <calculatedColumnFormula>G25</calculatedColumnFormula>
    </tableColumn>
  </tableColumns>
  <tableStyleInfo name="TableStyleLight2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54222E9-31A0-43A5-A0E7-112930005DD2}" name="Table418274358" displayName="Table418274358" ref="AI8:AN11" totalsRowShown="0" headerRowDxfId="10" dataDxfId="8" headerRowBorderDxfId="9" tableBorderDxfId="7" totalsRowBorderDxfId="6">
  <autoFilter ref="AI8:AN11" xr:uid="{B9690609-67AF-4EFE-841E-6BA56C9B9669}"/>
  <tableColumns count="6">
    <tableColumn id="1" xr3:uid="{80401302-8EA0-4763-8636-4C3067307167}" name="Cluster type" dataDxfId="5"/>
    <tableColumn id="2" xr3:uid="{37609B4D-1E06-4149-B9E4-6DC34E13CB3E}" name="Type of code" dataDxfId="4"/>
    <tableColumn id="3" xr3:uid="{0D7D3E0D-EAAF-43AB-BEEF-EC7B0D799578}" name="region" dataDxfId="3"/>
    <tableColumn id="4" xr3:uid="{C7C1DF1D-A548-4681-BB5C-8B27593ACC57}" name="Num.P" dataDxfId="2"/>
    <tableColumn id="5" xr3:uid="{4282342E-F2B0-48AE-A41B-FE34D9008366}" name="Dataset size" dataDxfId="1"/>
    <tableColumn id="6" xr3:uid="{55057DE7-CA1D-4126-8315-008818C292F8}" name="Ex time" dataDxfId="0">
      <calculatedColumnFormula>G25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12" Type="http://schemas.openxmlformats.org/officeDocument/2006/relationships/table" Target="../tables/table8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11" Type="http://schemas.openxmlformats.org/officeDocument/2006/relationships/table" Target="../tables/table7.xml"/><Relationship Id="rId5" Type="http://schemas.openxmlformats.org/officeDocument/2006/relationships/table" Target="../tables/table1.xml"/><Relationship Id="rId10" Type="http://schemas.openxmlformats.org/officeDocument/2006/relationships/table" Target="../tables/table6.xml"/><Relationship Id="rId4" Type="http://schemas.openxmlformats.org/officeDocument/2006/relationships/drawing" Target="../drawings/drawing1.xml"/><Relationship Id="rId9" Type="http://schemas.openxmlformats.org/officeDocument/2006/relationships/table" Target="../tables/table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pivotTable" Target="../pivotTables/pivotTable6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drawing" Target="../drawings/drawing2.xml"/><Relationship Id="rId9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pivotTable" Target="../pivotTables/pivotTable9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drawing" Target="../drawings/drawing3.xml"/><Relationship Id="rId9" Type="http://schemas.openxmlformats.org/officeDocument/2006/relationships/table" Target="../tables/table2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3" Type="http://schemas.openxmlformats.org/officeDocument/2006/relationships/pivotTable" Target="../pivotTables/pivotTable12.xml"/><Relationship Id="rId7" Type="http://schemas.openxmlformats.org/officeDocument/2006/relationships/table" Target="../tables/table27.xml"/><Relationship Id="rId12" Type="http://schemas.openxmlformats.org/officeDocument/2006/relationships/table" Target="../tables/table3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5" Type="http://schemas.openxmlformats.org/officeDocument/2006/relationships/table" Target="../tables/table25.xml"/><Relationship Id="rId10" Type="http://schemas.openxmlformats.org/officeDocument/2006/relationships/table" Target="../tables/table30.xml"/><Relationship Id="rId4" Type="http://schemas.openxmlformats.org/officeDocument/2006/relationships/drawing" Target="../drawings/drawing4.xml"/><Relationship Id="rId9" Type="http://schemas.openxmlformats.org/officeDocument/2006/relationships/table" Target="../tables/table2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6.xml"/><Relationship Id="rId3" Type="http://schemas.openxmlformats.org/officeDocument/2006/relationships/pivotTable" Target="../pivotTables/pivotTable15.xml"/><Relationship Id="rId7" Type="http://schemas.openxmlformats.org/officeDocument/2006/relationships/table" Target="../tables/table35.xml"/><Relationship Id="rId12" Type="http://schemas.openxmlformats.org/officeDocument/2006/relationships/table" Target="../tables/table40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table" Target="../tables/table34.xml"/><Relationship Id="rId11" Type="http://schemas.openxmlformats.org/officeDocument/2006/relationships/table" Target="../tables/table39.xml"/><Relationship Id="rId5" Type="http://schemas.openxmlformats.org/officeDocument/2006/relationships/table" Target="../tables/table33.xml"/><Relationship Id="rId10" Type="http://schemas.openxmlformats.org/officeDocument/2006/relationships/table" Target="../tables/table38.xml"/><Relationship Id="rId4" Type="http://schemas.openxmlformats.org/officeDocument/2006/relationships/drawing" Target="../drawings/drawing5.xml"/><Relationship Id="rId9" Type="http://schemas.openxmlformats.org/officeDocument/2006/relationships/table" Target="../tables/table3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4.xml"/><Relationship Id="rId3" Type="http://schemas.openxmlformats.org/officeDocument/2006/relationships/pivotTable" Target="../pivotTables/pivotTable18.xml"/><Relationship Id="rId7" Type="http://schemas.openxmlformats.org/officeDocument/2006/relationships/table" Target="../tables/table43.xml"/><Relationship Id="rId12" Type="http://schemas.openxmlformats.org/officeDocument/2006/relationships/table" Target="../tables/table4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table" Target="../tables/table42.xml"/><Relationship Id="rId11" Type="http://schemas.openxmlformats.org/officeDocument/2006/relationships/table" Target="../tables/table47.xml"/><Relationship Id="rId5" Type="http://schemas.openxmlformats.org/officeDocument/2006/relationships/table" Target="../tables/table41.xml"/><Relationship Id="rId10" Type="http://schemas.openxmlformats.org/officeDocument/2006/relationships/table" Target="../tables/table46.xml"/><Relationship Id="rId4" Type="http://schemas.openxmlformats.org/officeDocument/2006/relationships/drawing" Target="../drawings/drawing6.xml"/><Relationship Id="rId9" Type="http://schemas.openxmlformats.org/officeDocument/2006/relationships/table" Target="../tables/table4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2.xml"/><Relationship Id="rId3" Type="http://schemas.openxmlformats.org/officeDocument/2006/relationships/pivotTable" Target="../pivotTables/pivotTable21.xml"/><Relationship Id="rId7" Type="http://schemas.openxmlformats.org/officeDocument/2006/relationships/table" Target="../tables/table51.xml"/><Relationship Id="rId12" Type="http://schemas.openxmlformats.org/officeDocument/2006/relationships/table" Target="../tables/table56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table" Target="../tables/table50.xml"/><Relationship Id="rId11" Type="http://schemas.openxmlformats.org/officeDocument/2006/relationships/table" Target="../tables/table55.xml"/><Relationship Id="rId5" Type="http://schemas.openxmlformats.org/officeDocument/2006/relationships/table" Target="../tables/table49.xml"/><Relationship Id="rId10" Type="http://schemas.openxmlformats.org/officeDocument/2006/relationships/table" Target="../tables/table54.xml"/><Relationship Id="rId4" Type="http://schemas.openxmlformats.org/officeDocument/2006/relationships/drawing" Target="../drawings/drawing7.xml"/><Relationship Id="rId9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1096-3838-4E09-835A-312A4450C428}">
  <dimension ref="A1:AO44"/>
  <sheetViews>
    <sheetView showGridLines="0" topLeftCell="R18" zoomScale="85" zoomScaleNormal="85" workbookViewId="0">
      <selection activeCell="AM49" sqref="AM49"/>
    </sheetView>
  </sheetViews>
  <sheetFormatPr defaultRowHeight="14.4" x14ac:dyDescent="0.3"/>
  <cols>
    <col min="1" max="1" width="12.88671875" customWidth="1"/>
    <col min="2" max="2" width="13.6640625" customWidth="1"/>
    <col min="3" max="3" width="8.33203125" customWidth="1"/>
    <col min="4" max="4" width="8.6640625" customWidth="1"/>
    <col min="5" max="5" width="12.6640625" customWidth="1"/>
    <col min="6" max="6" width="11.109375" customWidth="1"/>
    <col min="8" max="8" width="3" style="26" customWidth="1"/>
    <col min="9" max="9" width="18.5546875" bestFit="1" customWidth="1"/>
    <col min="14" max="14" width="2.88671875" style="26" customWidth="1"/>
    <col min="15" max="15" width="13.44140625" bestFit="1" customWidth="1"/>
    <col min="16" max="16" width="16.44140625" bestFit="1" customWidth="1"/>
    <col min="17" max="17" width="20.33203125" bestFit="1" customWidth="1"/>
    <col min="18" max="18" width="9.33203125" bestFit="1" customWidth="1"/>
    <col min="19" max="19" width="15" bestFit="1" customWidth="1"/>
    <col min="20" max="20" width="9.33203125" bestFit="1" customWidth="1"/>
    <col min="21" max="21" width="19.33203125" bestFit="1" customWidth="1"/>
    <col min="22" max="22" width="9.33203125" bestFit="1" customWidth="1"/>
    <col min="23" max="23" width="8.5546875" customWidth="1"/>
    <col min="24" max="24" width="5.44140625" style="26" customWidth="1"/>
    <col min="25" max="25" width="16.33203125" bestFit="1" customWidth="1"/>
    <col min="26" max="26" width="16.44140625" bestFit="1" customWidth="1"/>
    <col min="27" max="28" width="4.5546875" bestFit="1" customWidth="1"/>
    <col min="29" max="29" width="11.44140625" bestFit="1" customWidth="1"/>
    <col min="30" max="30" width="16.44140625" bestFit="1" customWidth="1"/>
    <col min="31" max="31" width="12" bestFit="1" customWidth="1"/>
    <col min="32" max="32" width="21.5546875" bestFit="1" customWidth="1"/>
    <col min="34" max="34" width="4.33203125" style="26" customWidth="1"/>
    <col min="35" max="35" width="13.44140625" bestFit="1" customWidth="1"/>
    <col min="36" max="37" width="16.33203125" bestFit="1" customWidth="1"/>
    <col min="38" max="38" width="4.5546875" bestFit="1" customWidth="1"/>
    <col min="39" max="39" width="11.44140625" bestFit="1" customWidth="1"/>
    <col min="40" max="40" width="4.5546875" bestFit="1" customWidth="1"/>
    <col min="41" max="41" width="7" bestFit="1" customWidth="1"/>
    <col min="42" max="42" width="11.44140625" bestFit="1" customWidth="1"/>
  </cols>
  <sheetData>
    <row r="1" spans="1:41" s="25" customFormat="1" x14ac:dyDescent="0.3">
      <c r="A1" s="24" t="s">
        <v>32</v>
      </c>
      <c r="I1" s="24" t="s">
        <v>43</v>
      </c>
      <c r="O1" s="24" t="s">
        <v>33</v>
      </c>
      <c r="Y1" s="24" t="s">
        <v>36</v>
      </c>
      <c r="AI1" s="24" t="s">
        <v>39</v>
      </c>
    </row>
    <row r="2" spans="1:41" x14ac:dyDescent="0.3">
      <c r="A2" s="6" t="s">
        <v>44</v>
      </c>
      <c r="I2" s="6" t="s">
        <v>45</v>
      </c>
      <c r="O2" s="6" t="s">
        <v>45</v>
      </c>
      <c r="T2" s="28" t="s">
        <v>16</v>
      </c>
      <c r="U2" s="28">
        <v>0.25</v>
      </c>
      <c r="Y2" s="27" t="s">
        <v>41</v>
      </c>
      <c r="AI2" t="s">
        <v>40</v>
      </c>
    </row>
    <row r="3" spans="1:41" x14ac:dyDescent="0.3">
      <c r="A3" s="6"/>
      <c r="I3" s="6"/>
      <c r="T3" s="28" t="s">
        <v>15</v>
      </c>
      <c r="U3" s="28">
        <v>0.75</v>
      </c>
    </row>
    <row r="4" spans="1:41" x14ac:dyDescent="0.3">
      <c r="A4" s="6"/>
      <c r="I4" s="6"/>
    </row>
    <row r="5" spans="1:41" x14ac:dyDescent="0.3">
      <c r="A5" s="6"/>
      <c r="I5" s="6"/>
      <c r="O5" s="6"/>
    </row>
    <row r="6" spans="1:41" x14ac:dyDescent="0.3">
      <c r="A6" s="6"/>
      <c r="I6" s="6"/>
    </row>
    <row r="8" spans="1:41" x14ac:dyDescent="0.3">
      <c r="A8" t="s">
        <v>6</v>
      </c>
      <c r="B8" t="s">
        <v>11</v>
      </c>
      <c r="C8" t="s">
        <v>2</v>
      </c>
      <c r="D8" t="s">
        <v>3</v>
      </c>
      <c r="E8" t="s">
        <v>4</v>
      </c>
      <c r="F8" t="s">
        <v>5</v>
      </c>
      <c r="G8" t="s">
        <v>14</v>
      </c>
      <c r="I8" t="s">
        <v>23</v>
      </c>
      <c r="J8" t="s">
        <v>17</v>
      </c>
      <c r="K8" t="s">
        <v>18</v>
      </c>
      <c r="L8" t="s">
        <v>20</v>
      </c>
      <c r="M8" t="s">
        <v>19</v>
      </c>
      <c r="O8" t="s">
        <v>23</v>
      </c>
      <c r="P8" t="s">
        <v>17</v>
      </c>
      <c r="Q8" t="s">
        <v>18</v>
      </c>
      <c r="R8" t="s">
        <v>20</v>
      </c>
      <c r="S8" t="s">
        <v>19</v>
      </c>
      <c r="Y8" s="8" t="s">
        <v>6</v>
      </c>
      <c r="Z8" s="8" t="s">
        <v>11</v>
      </c>
      <c r="AA8" s="8" t="s">
        <v>2</v>
      </c>
      <c r="AB8" s="8" t="s">
        <v>3</v>
      </c>
      <c r="AC8" s="8" t="s">
        <v>4</v>
      </c>
      <c r="AD8" s="8" t="s">
        <v>35</v>
      </c>
      <c r="AI8" s="20" t="s">
        <v>6</v>
      </c>
      <c r="AJ8" s="21" t="s">
        <v>11</v>
      </c>
      <c r="AK8" s="21" t="s">
        <v>2</v>
      </c>
      <c r="AL8" s="21" t="s">
        <v>3</v>
      </c>
      <c r="AM8" s="21" t="s">
        <v>4</v>
      </c>
      <c r="AN8" s="21" t="s">
        <v>35</v>
      </c>
    </row>
    <row r="9" spans="1:41" x14ac:dyDescent="0.3">
      <c r="A9" t="s">
        <v>0</v>
      </c>
      <c r="B9" t="s">
        <v>12</v>
      </c>
      <c r="C9" t="s">
        <v>1</v>
      </c>
      <c r="D9">
        <v>1</v>
      </c>
      <c r="E9" t="s">
        <v>7</v>
      </c>
      <c r="G9">
        <v>2.81101</v>
      </c>
      <c r="I9" t="s">
        <v>13</v>
      </c>
      <c r="J9" s="1">
        <v>2.85</v>
      </c>
      <c r="K9" s="1">
        <v>2.81</v>
      </c>
      <c r="L9" s="1">
        <v>2.87</v>
      </c>
      <c r="M9" s="1">
        <v>2.85</v>
      </c>
      <c r="O9" t="s">
        <v>22</v>
      </c>
      <c r="P9" s="2">
        <f>1/(0.25+0.75/1)</f>
        <v>1</v>
      </c>
      <c r="Q9" s="2">
        <f>1/(0.25+0.75/2)</f>
        <v>1.6</v>
      </c>
      <c r="R9" s="2">
        <f>1/(0.25+0.75/4)</f>
        <v>2.2857142857142856</v>
      </c>
      <c r="S9" s="2">
        <f>1/(0.25+0.75/8)</f>
        <v>2.9090909090909092</v>
      </c>
      <c r="Y9" s="9" t="s">
        <v>0</v>
      </c>
      <c r="Z9" s="9" t="s">
        <v>13</v>
      </c>
      <c r="AA9" s="9" t="s">
        <v>1</v>
      </c>
      <c r="AB9" s="9">
        <v>1</v>
      </c>
      <c r="AC9" s="9" t="s">
        <v>7</v>
      </c>
      <c r="AD9" s="10">
        <v>1.8026800000000001</v>
      </c>
      <c r="AI9" s="12" t="s">
        <v>0</v>
      </c>
      <c r="AJ9" s="12" t="s">
        <v>13</v>
      </c>
      <c r="AK9" s="12" t="s">
        <v>1</v>
      </c>
      <c r="AL9" s="12">
        <v>1</v>
      </c>
      <c r="AM9" s="12" t="s">
        <v>7</v>
      </c>
      <c r="AN9" s="22">
        <v>1.8026800000000001</v>
      </c>
    </row>
    <row r="10" spans="1:41" x14ac:dyDescent="0.3">
      <c r="A10" t="s">
        <v>0</v>
      </c>
      <c r="B10" t="s">
        <v>12</v>
      </c>
      <c r="C10" t="s">
        <v>1</v>
      </c>
      <c r="D10">
        <v>1</v>
      </c>
      <c r="E10" t="s">
        <v>8</v>
      </c>
      <c r="G10">
        <v>4.0624799999999999</v>
      </c>
      <c r="I10" t="s">
        <v>38</v>
      </c>
      <c r="J10" s="2">
        <v>2.89</v>
      </c>
      <c r="K10" s="2">
        <v>1.93</v>
      </c>
      <c r="L10" s="2">
        <v>1.41</v>
      </c>
      <c r="M10" s="2">
        <v>1.28</v>
      </c>
      <c r="O10" t="s">
        <v>24</v>
      </c>
      <c r="P10" s="2">
        <f>J9/J10</f>
        <v>0.98615916955017302</v>
      </c>
      <c r="Q10" s="2">
        <f>K9/K10</f>
        <v>1.455958549222798</v>
      </c>
      <c r="R10" s="2">
        <f>L9/L10</f>
        <v>2.0354609929078018</v>
      </c>
      <c r="S10" s="2">
        <f>M9/M10</f>
        <v>2.2265625</v>
      </c>
      <c r="Y10" s="9" t="s">
        <v>0</v>
      </c>
      <c r="Z10" s="9" t="s">
        <v>13</v>
      </c>
      <c r="AA10" s="9" t="s">
        <v>1</v>
      </c>
      <c r="AB10" s="9">
        <v>2</v>
      </c>
      <c r="AC10" s="9" t="s">
        <v>7</v>
      </c>
      <c r="AD10" s="10">
        <v>2.0485600000000002</v>
      </c>
      <c r="AI10" s="12" t="s">
        <v>0</v>
      </c>
      <c r="AJ10" s="12" t="s">
        <v>13</v>
      </c>
      <c r="AK10" s="12" t="s">
        <v>1</v>
      </c>
      <c r="AL10" s="12">
        <v>1</v>
      </c>
      <c r="AM10" s="12" t="s">
        <v>8</v>
      </c>
      <c r="AN10" s="22">
        <v>2.85425</v>
      </c>
    </row>
    <row r="11" spans="1:41" x14ac:dyDescent="0.3">
      <c r="A11" t="s">
        <v>0</v>
      </c>
      <c r="B11" t="s">
        <v>12</v>
      </c>
      <c r="C11" t="s">
        <v>1</v>
      </c>
      <c r="D11">
        <v>1</v>
      </c>
      <c r="E11" t="s">
        <v>9</v>
      </c>
      <c r="G11">
        <v>7.3460700000000001</v>
      </c>
      <c r="Y11" s="9" t="s">
        <v>0</v>
      </c>
      <c r="Z11" s="9" t="s">
        <v>13</v>
      </c>
      <c r="AA11" s="9" t="s">
        <v>1</v>
      </c>
      <c r="AB11" s="9">
        <v>4</v>
      </c>
      <c r="AC11" s="9" t="s">
        <v>7</v>
      </c>
      <c r="AD11" s="10">
        <v>2.53817</v>
      </c>
      <c r="AI11" s="16" t="s">
        <v>0</v>
      </c>
      <c r="AJ11" s="16" t="s">
        <v>13</v>
      </c>
      <c r="AK11" s="16" t="s">
        <v>1</v>
      </c>
      <c r="AL11" s="16">
        <v>1</v>
      </c>
      <c r="AM11" s="16" t="s">
        <v>9</v>
      </c>
      <c r="AN11" s="23">
        <v>2.85425</v>
      </c>
    </row>
    <row r="12" spans="1:41" x14ac:dyDescent="0.3">
      <c r="A12" t="s">
        <v>0</v>
      </c>
      <c r="B12" t="s">
        <v>12</v>
      </c>
      <c r="C12" t="s">
        <v>1</v>
      </c>
      <c r="D12">
        <v>1</v>
      </c>
      <c r="E12" t="s">
        <v>10</v>
      </c>
      <c r="G12">
        <v>13.403</v>
      </c>
      <c r="J12" s="2"/>
      <c r="K12" s="2"/>
      <c r="L12" s="2"/>
      <c r="M12" s="2"/>
      <c r="Y12" s="9" t="s">
        <v>0</v>
      </c>
      <c r="Z12" s="9" t="s">
        <v>13</v>
      </c>
      <c r="AA12" s="9" t="s">
        <v>1</v>
      </c>
      <c r="AB12" s="9">
        <v>8</v>
      </c>
      <c r="AC12" s="9" t="s">
        <v>7</v>
      </c>
      <c r="AD12" s="10">
        <v>2.4763000000000002</v>
      </c>
    </row>
    <row r="13" spans="1:41" x14ac:dyDescent="0.3">
      <c r="A13" t="s">
        <v>0</v>
      </c>
      <c r="B13" t="s">
        <v>12</v>
      </c>
      <c r="C13" t="s">
        <v>1</v>
      </c>
      <c r="D13">
        <v>2</v>
      </c>
      <c r="E13" t="s">
        <v>7</v>
      </c>
      <c r="G13">
        <v>2.17536</v>
      </c>
      <c r="O13" t="s">
        <v>34</v>
      </c>
      <c r="Y13" s="9" t="s">
        <v>0</v>
      </c>
      <c r="Z13" s="9" t="s">
        <v>13</v>
      </c>
      <c r="AA13" s="9" t="s">
        <v>1</v>
      </c>
      <c r="AB13" s="9">
        <v>1</v>
      </c>
      <c r="AC13" s="9" t="s">
        <v>8</v>
      </c>
      <c r="AD13" s="10"/>
    </row>
    <row r="14" spans="1:41" x14ac:dyDescent="0.3">
      <c r="A14" t="s">
        <v>0</v>
      </c>
      <c r="B14" t="s">
        <v>12</v>
      </c>
      <c r="C14" t="s">
        <v>1</v>
      </c>
      <c r="D14">
        <v>2</v>
      </c>
      <c r="E14" t="s">
        <v>8</v>
      </c>
      <c r="G14">
        <v>3.39391</v>
      </c>
      <c r="O14" t="s">
        <v>21</v>
      </c>
      <c r="P14" t="s">
        <v>28</v>
      </c>
      <c r="Q14" t="s">
        <v>29</v>
      </c>
      <c r="Y14" s="9" t="s">
        <v>0</v>
      </c>
      <c r="Z14" s="9" t="s">
        <v>13</v>
      </c>
      <c r="AA14" s="9" t="s">
        <v>1</v>
      </c>
      <c r="AB14" s="9">
        <v>2</v>
      </c>
      <c r="AC14" s="9" t="s">
        <v>8</v>
      </c>
      <c r="AD14" s="10"/>
      <c r="AI14" s="11" t="s">
        <v>6</v>
      </c>
      <c r="AJ14" s="11" t="s">
        <v>11</v>
      </c>
      <c r="AK14" s="11" t="s">
        <v>2</v>
      </c>
      <c r="AL14" s="11" t="s">
        <v>3</v>
      </c>
      <c r="AM14" s="11" t="s">
        <v>4</v>
      </c>
      <c r="AN14" s="11" t="s">
        <v>35</v>
      </c>
      <c r="AO14" s="11" t="s">
        <v>42</v>
      </c>
    </row>
    <row r="15" spans="1:41" x14ac:dyDescent="0.3">
      <c r="A15" t="s">
        <v>0</v>
      </c>
      <c r="B15" t="s">
        <v>12</v>
      </c>
      <c r="C15" t="s">
        <v>1</v>
      </c>
      <c r="D15">
        <v>2</v>
      </c>
      <c r="E15" t="s">
        <v>9</v>
      </c>
      <c r="G15">
        <v>5.9031000000000002</v>
      </c>
      <c r="O15" t="s">
        <v>30</v>
      </c>
      <c r="P15" s="2">
        <f>1/(0.25+0.75/1)</f>
        <v>1</v>
      </c>
      <c r="Q15" t="s">
        <v>17</v>
      </c>
      <c r="Y15" s="9" t="s">
        <v>0</v>
      </c>
      <c r="Z15" s="9" t="s">
        <v>13</v>
      </c>
      <c r="AA15" s="9" t="s">
        <v>1</v>
      </c>
      <c r="AB15" s="9">
        <v>4</v>
      </c>
      <c r="AC15" s="9" t="s">
        <v>8</v>
      </c>
      <c r="AD15" s="10"/>
      <c r="AI15" s="12" t="s">
        <v>0</v>
      </c>
      <c r="AJ15" s="12" t="s">
        <v>12</v>
      </c>
      <c r="AK15" s="12" t="s">
        <v>1</v>
      </c>
      <c r="AL15" s="12">
        <v>2</v>
      </c>
      <c r="AM15" s="12" t="s">
        <v>7</v>
      </c>
      <c r="AN15" s="13">
        <v>2.17536</v>
      </c>
      <c r="AO15" s="14">
        <f>AN9/Table132[[#This Row],[Ex time]]</f>
        <v>0.82868122977346281</v>
      </c>
    </row>
    <row r="16" spans="1:41" x14ac:dyDescent="0.3">
      <c r="A16" t="s">
        <v>0</v>
      </c>
      <c r="B16" t="s">
        <v>12</v>
      </c>
      <c r="C16" t="s">
        <v>1</v>
      </c>
      <c r="D16">
        <v>2</v>
      </c>
      <c r="E16" t="s">
        <v>10</v>
      </c>
      <c r="G16">
        <v>10.605700000000001</v>
      </c>
      <c r="O16" t="s">
        <v>30</v>
      </c>
      <c r="P16" s="2">
        <f>1/(0.25+0.75/2)</f>
        <v>1.6</v>
      </c>
      <c r="Q16" t="s">
        <v>18</v>
      </c>
      <c r="Y16" s="9" t="s">
        <v>0</v>
      </c>
      <c r="Z16" s="9" t="s">
        <v>13</v>
      </c>
      <c r="AA16" s="9" t="s">
        <v>1</v>
      </c>
      <c r="AB16" s="9">
        <v>8</v>
      </c>
      <c r="AC16" s="9" t="s">
        <v>8</v>
      </c>
      <c r="AD16" s="10"/>
      <c r="AI16" s="12" t="s">
        <v>0</v>
      </c>
      <c r="AJ16" s="12" t="s">
        <v>12</v>
      </c>
      <c r="AK16" s="12" t="s">
        <v>1</v>
      </c>
      <c r="AL16" s="12">
        <v>4</v>
      </c>
      <c r="AM16" s="12" t="s">
        <v>8</v>
      </c>
      <c r="AN16" s="18">
        <v>3</v>
      </c>
      <c r="AO16" s="13">
        <f>AN10/Table132[[#This Row],[Ex time]]</f>
        <v>0.95141666666666669</v>
      </c>
    </row>
    <row r="17" spans="1:41" x14ac:dyDescent="0.3">
      <c r="A17" t="s">
        <v>0</v>
      </c>
      <c r="B17" t="s">
        <v>12</v>
      </c>
      <c r="C17" t="s">
        <v>1</v>
      </c>
      <c r="D17">
        <v>4</v>
      </c>
      <c r="E17" t="s">
        <v>7</v>
      </c>
      <c r="G17">
        <v>2.5750999999999999</v>
      </c>
      <c r="O17" t="s">
        <v>30</v>
      </c>
      <c r="P17" s="2">
        <f>1/(0.25+0.75/4)</f>
        <v>2.2857142857142856</v>
      </c>
      <c r="Q17" t="s">
        <v>20</v>
      </c>
      <c r="Y17" s="9" t="s">
        <v>0</v>
      </c>
      <c r="Z17" s="9" t="s">
        <v>13</v>
      </c>
      <c r="AA17" s="9" t="s">
        <v>1</v>
      </c>
      <c r="AB17" s="9">
        <v>1</v>
      </c>
      <c r="AC17" s="9" t="s">
        <v>9</v>
      </c>
      <c r="AD17" s="10"/>
      <c r="AI17" s="16" t="s">
        <v>0</v>
      </c>
      <c r="AJ17" s="16" t="s">
        <v>12</v>
      </c>
      <c r="AK17" s="16" t="s">
        <v>1</v>
      </c>
      <c r="AL17" s="16">
        <v>8</v>
      </c>
      <c r="AM17" s="16" t="s">
        <v>9</v>
      </c>
      <c r="AN17" s="17">
        <v>7.7526200000000003</v>
      </c>
      <c r="AO17" s="13">
        <f>AN11/Table132[[#This Row],[Ex time]]</f>
        <v>0.3681658587677456</v>
      </c>
    </row>
    <row r="18" spans="1:41" x14ac:dyDescent="0.3">
      <c r="A18" t="s">
        <v>0</v>
      </c>
      <c r="B18" t="s">
        <v>12</v>
      </c>
      <c r="C18" t="s">
        <v>1</v>
      </c>
      <c r="D18">
        <v>4</v>
      </c>
      <c r="E18" t="s">
        <v>8</v>
      </c>
      <c r="G18">
        <v>4.0647000000000002</v>
      </c>
      <c r="O18" t="s">
        <v>30</v>
      </c>
      <c r="P18" s="2">
        <f>1/(0.25+0.75/8)</f>
        <v>2.9090909090909092</v>
      </c>
      <c r="Q18" t="s">
        <v>19</v>
      </c>
      <c r="Y18" s="9" t="s">
        <v>0</v>
      </c>
      <c r="Z18" s="9" t="s">
        <v>13</v>
      </c>
      <c r="AA18" s="9" t="s">
        <v>1</v>
      </c>
      <c r="AB18" s="9">
        <v>2</v>
      </c>
      <c r="AC18" s="9" t="s">
        <v>9</v>
      </c>
      <c r="AD18" s="10"/>
    </row>
    <row r="19" spans="1:41" x14ac:dyDescent="0.3">
      <c r="A19" t="s">
        <v>0</v>
      </c>
      <c r="B19" t="s">
        <v>12</v>
      </c>
      <c r="C19" t="s">
        <v>1</v>
      </c>
      <c r="D19">
        <v>4</v>
      </c>
      <c r="E19" t="s">
        <v>9</v>
      </c>
      <c r="G19">
        <v>6.9655500000000004</v>
      </c>
      <c r="O19" t="s">
        <v>24</v>
      </c>
      <c r="P19" s="2">
        <v>0.98615916955017302</v>
      </c>
      <c r="Q19" t="s">
        <v>17</v>
      </c>
      <c r="Y19" s="9" t="s">
        <v>0</v>
      </c>
      <c r="Z19" s="9" t="s">
        <v>13</v>
      </c>
      <c r="AA19" s="9" t="s">
        <v>1</v>
      </c>
      <c r="AB19" s="9">
        <v>4</v>
      </c>
      <c r="AC19" s="9" t="s">
        <v>9</v>
      </c>
      <c r="AD19" s="10"/>
    </row>
    <row r="20" spans="1:41" x14ac:dyDescent="0.3">
      <c r="A20" t="s">
        <v>0</v>
      </c>
      <c r="B20" t="s">
        <v>12</v>
      </c>
      <c r="C20" t="s">
        <v>1</v>
      </c>
      <c r="D20">
        <v>4</v>
      </c>
      <c r="E20" t="s">
        <v>10</v>
      </c>
      <c r="G20">
        <v>12.667299999999999</v>
      </c>
      <c r="O20" t="s">
        <v>24</v>
      </c>
      <c r="P20" s="2">
        <v>1.455958549222798</v>
      </c>
      <c r="Q20" t="s">
        <v>18</v>
      </c>
      <c r="Y20" s="9" t="s">
        <v>0</v>
      </c>
      <c r="Z20" s="9" t="s">
        <v>13</v>
      </c>
      <c r="AA20" s="9" t="s">
        <v>1</v>
      </c>
      <c r="AB20" s="9">
        <v>8</v>
      </c>
      <c r="AC20" s="9" t="s">
        <v>9</v>
      </c>
      <c r="AD20" s="10"/>
    </row>
    <row r="21" spans="1:41" x14ac:dyDescent="0.3">
      <c r="A21" t="s">
        <v>0</v>
      </c>
      <c r="B21" t="s">
        <v>12</v>
      </c>
      <c r="C21" t="s">
        <v>1</v>
      </c>
      <c r="D21">
        <v>8</v>
      </c>
      <c r="E21" t="s">
        <v>7</v>
      </c>
      <c r="G21">
        <v>2.9164300000000001</v>
      </c>
      <c r="O21" t="s">
        <v>24</v>
      </c>
      <c r="P21" s="2">
        <v>2.0354609929078018</v>
      </c>
      <c r="Q21" t="s">
        <v>20</v>
      </c>
      <c r="AI21" s="4" t="s">
        <v>25</v>
      </c>
      <c r="AJ21" t="s">
        <v>46</v>
      </c>
    </row>
    <row r="22" spans="1:41" x14ac:dyDescent="0.3">
      <c r="A22" t="s">
        <v>0</v>
      </c>
      <c r="B22" t="s">
        <v>12</v>
      </c>
      <c r="C22" t="s">
        <v>1</v>
      </c>
      <c r="D22">
        <v>8</v>
      </c>
      <c r="E22" t="s">
        <v>8</v>
      </c>
      <c r="G22">
        <v>4.5489800000000002</v>
      </c>
      <c r="L22" s="2"/>
      <c r="M22" s="3"/>
      <c r="O22" t="s">
        <v>24</v>
      </c>
      <c r="P22" s="2">
        <v>2.2265625</v>
      </c>
      <c r="Q22" t="s">
        <v>19</v>
      </c>
      <c r="Y22" s="11" t="s">
        <v>6</v>
      </c>
      <c r="Z22" s="11" t="s">
        <v>11</v>
      </c>
      <c r="AA22" s="11" t="s">
        <v>2</v>
      </c>
      <c r="AB22" s="11" t="s">
        <v>3</v>
      </c>
      <c r="AC22" s="11" t="s">
        <v>4</v>
      </c>
      <c r="AD22" s="11" t="s">
        <v>35</v>
      </c>
      <c r="AE22" s="11" t="s">
        <v>21</v>
      </c>
      <c r="AI22" s="5">
        <v>2</v>
      </c>
      <c r="AJ22" s="2">
        <v>0.82868122977346281</v>
      </c>
    </row>
    <row r="23" spans="1:41" x14ac:dyDescent="0.3">
      <c r="A23" t="s">
        <v>0</v>
      </c>
      <c r="B23" t="s">
        <v>12</v>
      </c>
      <c r="C23" t="s">
        <v>1</v>
      </c>
      <c r="D23">
        <v>8</v>
      </c>
      <c r="E23" t="s">
        <v>9</v>
      </c>
      <c r="G23">
        <v>7.7526200000000003</v>
      </c>
      <c r="L23" s="2"/>
      <c r="M23" s="2"/>
      <c r="Y23" s="12" t="s">
        <v>0</v>
      </c>
      <c r="Z23" s="12" t="s">
        <v>12</v>
      </c>
      <c r="AA23" s="12" t="s">
        <v>1</v>
      </c>
      <c r="AB23" s="12">
        <v>1</v>
      </c>
      <c r="AC23" s="12" t="s">
        <v>7</v>
      </c>
      <c r="AD23" s="13">
        <v>2.81101</v>
      </c>
      <c r="AE23" s="14">
        <f>AD9/Table13[[#This Row],[Ex time]]</f>
        <v>0.64129263147409654</v>
      </c>
      <c r="AI23" s="29" t="s">
        <v>7</v>
      </c>
      <c r="AJ23" s="2">
        <v>0.82868122977346281</v>
      </c>
    </row>
    <row r="24" spans="1:41" x14ac:dyDescent="0.3">
      <c r="A24" t="s">
        <v>0</v>
      </c>
      <c r="B24" t="s">
        <v>12</v>
      </c>
      <c r="C24" t="s">
        <v>1</v>
      </c>
      <c r="D24">
        <v>8</v>
      </c>
      <c r="E24" t="s">
        <v>10</v>
      </c>
      <c r="G24">
        <v>13.996600000000001</v>
      </c>
      <c r="Y24" s="12" t="s">
        <v>0</v>
      </c>
      <c r="Z24" s="12" t="s">
        <v>12</v>
      </c>
      <c r="AA24" s="12" t="s">
        <v>1</v>
      </c>
      <c r="AB24" s="12">
        <v>2</v>
      </c>
      <c r="AC24" s="12" t="s">
        <v>7</v>
      </c>
      <c r="AD24" s="13">
        <v>2.17536</v>
      </c>
      <c r="AE24" s="14">
        <f>AD9/Table13[[#This Row],[Ex time]]</f>
        <v>0.82868122977346281</v>
      </c>
      <c r="AI24" s="5">
        <v>4</v>
      </c>
      <c r="AJ24" s="2">
        <v>0.95141666666666669</v>
      </c>
    </row>
    <row r="25" spans="1:41" x14ac:dyDescent="0.3">
      <c r="A25" t="s">
        <v>0</v>
      </c>
      <c r="B25" t="s">
        <v>13</v>
      </c>
      <c r="C25" t="s">
        <v>1</v>
      </c>
      <c r="D25">
        <v>1</v>
      </c>
      <c r="E25" t="s">
        <v>7</v>
      </c>
      <c r="G25">
        <v>1.8026800000000001</v>
      </c>
      <c r="O25" s="4" t="s">
        <v>31</v>
      </c>
      <c r="P25" s="4" t="s">
        <v>27</v>
      </c>
      <c r="Y25" s="12" t="s">
        <v>0</v>
      </c>
      <c r="Z25" s="12" t="s">
        <v>12</v>
      </c>
      <c r="AA25" s="12" t="s">
        <v>1</v>
      </c>
      <c r="AB25" s="12">
        <v>4</v>
      </c>
      <c r="AC25" s="12" t="s">
        <v>7</v>
      </c>
      <c r="AD25" s="15">
        <v>2.5750999999999999</v>
      </c>
      <c r="AE25" s="13">
        <f>AD9/Table13[[#This Row],[Ex time]]</f>
        <v>0.70004271678769758</v>
      </c>
      <c r="AI25" s="29" t="s">
        <v>8</v>
      </c>
      <c r="AJ25" s="2">
        <v>0.95141666666666669</v>
      </c>
    </row>
    <row r="26" spans="1:41" x14ac:dyDescent="0.3">
      <c r="A26" t="s">
        <v>0</v>
      </c>
      <c r="B26" t="s">
        <v>13</v>
      </c>
      <c r="C26" t="s">
        <v>1</v>
      </c>
      <c r="D26">
        <v>2</v>
      </c>
      <c r="E26" t="s">
        <v>7</v>
      </c>
      <c r="G26">
        <v>2.0485600000000002</v>
      </c>
      <c r="O26" s="4" t="s">
        <v>25</v>
      </c>
      <c r="P26" t="s">
        <v>24</v>
      </c>
      <c r="Q26" t="s">
        <v>30</v>
      </c>
      <c r="Y26" s="16" t="s">
        <v>0</v>
      </c>
      <c r="Z26" s="16" t="s">
        <v>12</v>
      </c>
      <c r="AA26" s="16" t="s">
        <v>1</v>
      </c>
      <c r="AB26" s="16">
        <v>8</v>
      </c>
      <c r="AC26" s="12" t="s">
        <v>7</v>
      </c>
      <c r="AD26" s="17">
        <v>2.9164300000000001</v>
      </c>
      <c r="AE26" s="17">
        <f>AD9/Table13[[#This Row],[Ex time]]</f>
        <v>0.61811186964885156</v>
      </c>
      <c r="AI26" s="5">
        <v>8</v>
      </c>
      <c r="AJ26" s="2">
        <v>0.3681658587677456</v>
      </c>
    </row>
    <row r="27" spans="1:41" x14ac:dyDescent="0.3">
      <c r="A27" t="s">
        <v>0</v>
      </c>
      <c r="B27" t="s">
        <v>13</v>
      </c>
      <c r="C27" t="s">
        <v>1</v>
      </c>
      <c r="D27">
        <v>4</v>
      </c>
      <c r="E27" t="s">
        <v>7</v>
      </c>
      <c r="G27">
        <v>2.53817</v>
      </c>
      <c r="O27" s="5" t="s">
        <v>17</v>
      </c>
      <c r="P27" s="2">
        <v>0.98615916955017302</v>
      </c>
      <c r="Q27" s="2">
        <v>1</v>
      </c>
      <c r="Y27" s="12" t="s">
        <v>0</v>
      </c>
      <c r="Z27" s="12" t="s">
        <v>12</v>
      </c>
      <c r="AA27" s="12" t="s">
        <v>1</v>
      </c>
      <c r="AB27" s="12">
        <v>1</v>
      </c>
      <c r="AC27" s="12" t="s">
        <v>8</v>
      </c>
      <c r="AD27" s="18">
        <v>1</v>
      </c>
      <c r="AE27" s="13">
        <f>AD24/Table13[[#This Row],[Ex time]]</f>
        <v>2.17536</v>
      </c>
      <c r="AI27" s="29" t="s">
        <v>9</v>
      </c>
      <c r="AJ27" s="2">
        <v>0.3681658587677456</v>
      </c>
    </row>
    <row r="28" spans="1:41" x14ac:dyDescent="0.3">
      <c r="A28" t="s">
        <v>0</v>
      </c>
      <c r="B28" t="s">
        <v>13</v>
      </c>
      <c r="C28" t="s">
        <v>1</v>
      </c>
      <c r="D28">
        <v>8</v>
      </c>
      <c r="E28" t="s">
        <v>7</v>
      </c>
      <c r="G28">
        <v>2.4763000000000002</v>
      </c>
      <c r="O28" s="5" t="s">
        <v>18</v>
      </c>
      <c r="P28" s="2">
        <v>1.455958549222798</v>
      </c>
      <c r="Q28" s="2">
        <v>1.6</v>
      </c>
      <c r="Y28" s="12" t="s">
        <v>0</v>
      </c>
      <c r="Z28" s="12" t="s">
        <v>12</v>
      </c>
      <c r="AA28" s="12" t="s">
        <v>1</v>
      </c>
      <c r="AB28" s="12">
        <v>2</v>
      </c>
      <c r="AC28" s="12" t="s">
        <v>8</v>
      </c>
      <c r="AD28" s="18">
        <v>2</v>
      </c>
      <c r="AE28" s="13">
        <f>AD24/Table13[[#This Row],[Ex time]]</f>
        <v>1.08768</v>
      </c>
      <c r="AI28" s="5" t="s">
        <v>26</v>
      </c>
      <c r="AJ28" s="2">
        <v>2.1482637552078749</v>
      </c>
    </row>
    <row r="29" spans="1:41" x14ac:dyDescent="0.3">
      <c r="A29" t="s">
        <v>0</v>
      </c>
      <c r="B29" t="s">
        <v>13</v>
      </c>
      <c r="C29" t="s">
        <v>1</v>
      </c>
      <c r="D29">
        <v>1</v>
      </c>
      <c r="E29" t="s">
        <v>8</v>
      </c>
      <c r="G29">
        <v>2.85425</v>
      </c>
      <c r="O29" s="5" t="s">
        <v>20</v>
      </c>
      <c r="P29" s="2">
        <v>2.0354609929078018</v>
      </c>
      <c r="Q29" s="2">
        <v>2.2857142857142856</v>
      </c>
      <c r="Y29" s="12" t="s">
        <v>0</v>
      </c>
      <c r="Z29" s="12" t="s">
        <v>12</v>
      </c>
      <c r="AA29" s="12" t="s">
        <v>1</v>
      </c>
      <c r="AB29" s="12">
        <v>4</v>
      </c>
      <c r="AC29" s="12" t="s">
        <v>8</v>
      </c>
      <c r="AD29" s="18">
        <v>3</v>
      </c>
      <c r="AE29" s="13">
        <f>AD24/Table13[[#This Row],[Ex time]]</f>
        <v>0.72511999999999999</v>
      </c>
    </row>
    <row r="30" spans="1:41" x14ac:dyDescent="0.3">
      <c r="A30" t="s">
        <v>0</v>
      </c>
      <c r="B30" t="s">
        <v>13</v>
      </c>
      <c r="C30" t="s">
        <v>1</v>
      </c>
      <c r="D30">
        <v>2</v>
      </c>
      <c r="E30" t="s">
        <v>8</v>
      </c>
      <c r="G30">
        <v>2.85425</v>
      </c>
      <c r="O30" s="5" t="s">
        <v>19</v>
      </c>
      <c r="P30" s="2">
        <v>2.2265625</v>
      </c>
      <c r="Q30" s="2">
        <v>2.9090909090909092</v>
      </c>
      <c r="Y30" s="16" t="s">
        <v>0</v>
      </c>
      <c r="Z30" s="16" t="s">
        <v>12</v>
      </c>
      <c r="AA30" s="16" t="s">
        <v>1</v>
      </c>
      <c r="AB30" s="16">
        <v>8</v>
      </c>
      <c r="AC30" s="16" t="s">
        <v>8</v>
      </c>
      <c r="AD30" s="19">
        <v>4</v>
      </c>
      <c r="AE30" s="13">
        <f>AD24/Table13[[#This Row],[Ex time]]</f>
        <v>0.54383999999999999</v>
      </c>
    </row>
    <row r="31" spans="1:41" x14ac:dyDescent="0.3">
      <c r="A31" t="s">
        <v>0</v>
      </c>
      <c r="B31" t="s">
        <v>13</v>
      </c>
      <c r="C31" t="s">
        <v>1</v>
      </c>
      <c r="D31">
        <v>4</v>
      </c>
      <c r="E31" t="s">
        <v>8</v>
      </c>
      <c r="G31">
        <v>2.85425</v>
      </c>
      <c r="Y31" s="12" t="s">
        <v>0</v>
      </c>
      <c r="Z31" s="12" t="s">
        <v>12</v>
      </c>
      <c r="AA31" s="12" t="s">
        <v>1</v>
      </c>
      <c r="AB31" s="12">
        <v>1</v>
      </c>
      <c r="AC31" s="12" t="s">
        <v>9</v>
      </c>
      <c r="AD31" s="13">
        <v>7.3460700000000001</v>
      </c>
      <c r="AE31" s="13">
        <f>AD9/Table13[[#This Row],[Ex time]]</f>
        <v>0.24539379559410679</v>
      </c>
    </row>
    <row r="32" spans="1:41" x14ac:dyDescent="0.3">
      <c r="A32" t="s">
        <v>0</v>
      </c>
      <c r="B32" t="s">
        <v>13</v>
      </c>
      <c r="C32" t="s">
        <v>1</v>
      </c>
      <c r="D32">
        <v>8</v>
      </c>
      <c r="E32" t="s">
        <v>8</v>
      </c>
      <c r="G32">
        <v>2.85425</v>
      </c>
      <c r="Y32" s="12" t="s">
        <v>0</v>
      </c>
      <c r="Z32" s="12" t="s">
        <v>12</v>
      </c>
      <c r="AA32" s="12" t="s">
        <v>1</v>
      </c>
      <c r="AB32" s="12">
        <v>2</v>
      </c>
      <c r="AC32" s="12" t="s">
        <v>9</v>
      </c>
      <c r="AD32" s="13">
        <v>5.9031000000000002</v>
      </c>
      <c r="AE32" s="13">
        <f>AD9/Table13[[#This Row],[Ex time]]</f>
        <v>0.30537852992495468</v>
      </c>
    </row>
    <row r="33" spans="25:31" x14ac:dyDescent="0.3">
      <c r="Y33" s="12" t="s">
        <v>0</v>
      </c>
      <c r="Z33" s="12" t="s">
        <v>12</v>
      </c>
      <c r="AA33" s="12" t="s">
        <v>1</v>
      </c>
      <c r="AB33" s="12">
        <v>4</v>
      </c>
      <c r="AC33" s="12" t="s">
        <v>9</v>
      </c>
      <c r="AD33" s="13">
        <v>6.9655500000000004</v>
      </c>
      <c r="AE33" s="13">
        <f>AD9/Table13[[#This Row],[Ex time]]</f>
        <v>0.25879937693362332</v>
      </c>
    </row>
    <row r="34" spans="25:31" x14ac:dyDescent="0.3">
      <c r="Y34" s="16" t="s">
        <v>0</v>
      </c>
      <c r="Z34" s="16" t="s">
        <v>12</v>
      </c>
      <c r="AA34" s="16" t="s">
        <v>1</v>
      </c>
      <c r="AB34" s="16">
        <v>8</v>
      </c>
      <c r="AC34" s="16" t="s">
        <v>9</v>
      </c>
      <c r="AD34" s="17">
        <v>7.7526200000000003</v>
      </c>
      <c r="AE34" s="13">
        <f>AD9/Table13[[#This Row],[Ex time]]</f>
        <v>0.23252526242741164</v>
      </c>
    </row>
    <row r="38" spans="25:31" x14ac:dyDescent="0.3">
      <c r="Y38" s="4" t="s">
        <v>37</v>
      </c>
      <c r="Z38" s="4" t="s">
        <v>27</v>
      </c>
    </row>
    <row r="39" spans="25:31" x14ac:dyDescent="0.3">
      <c r="Y39" s="4" t="s">
        <v>25</v>
      </c>
      <c r="Z39" t="s">
        <v>7</v>
      </c>
      <c r="AA39" t="s">
        <v>8</v>
      </c>
      <c r="AB39" t="s">
        <v>9</v>
      </c>
      <c r="AC39" t="s">
        <v>26</v>
      </c>
    </row>
    <row r="40" spans="25:31" x14ac:dyDescent="0.3">
      <c r="Y40" s="5">
        <v>1</v>
      </c>
      <c r="Z40" s="2">
        <v>0.64129263147409654</v>
      </c>
      <c r="AA40" s="2">
        <v>2.17536</v>
      </c>
      <c r="AB40" s="2">
        <v>0.24539379559410679</v>
      </c>
      <c r="AC40" s="2">
        <v>3.0620464270682035</v>
      </c>
    </row>
    <row r="41" spans="25:31" x14ac:dyDescent="0.3">
      <c r="Y41" s="5">
        <v>2</v>
      </c>
      <c r="Z41" s="2">
        <v>0.82868122977346281</v>
      </c>
      <c r="AA41" s="2">
        <v>1.08768</v>
      </c>
      <c r="AB41" s="2">
        <v>0.30537852992495468</v>
      </c>
      <c r="AC41" s="2">
        <v>2.2217397596984174</v>
      </c>
    </row>
    <row r="42" spans="25:31" x14ac:dyDescent="0.3">
      <c r="Y42" s="5">
        <v>4</v>
      </c>
      <c r="Z42" s="2">
        <v>0.70004271678769758</v>
      </c>
      <c r="AA42" s="2">
        <v>0.72511999999999999</v>
      </c>
      <c r="AB42" s="2">
        <v>0.25879937693362332</v>
      </c>
      <c r="AC42" s="2">
        <v>1.6839620937213207</v>
      </c>
    </row>
    <row r="43" spans="25:31" x14ac:dyDescent="0.3">
      <c r="Y43" s="5">
        <v>8</v>
      </c>
      <c r="Z43" s="2">
        <v>0.61811186964885156</v>
      </c>
      <c r="AA43" s="2">
        <v>0.54383999999999999</v>
      </c>
      <c r="AB43" s="2">
        <v>0.23252526242741164</v>
      </c>
      <c r="AC43" s="2">
        <v>1.3944771320762632</v>
      </c>
    </row>
    <row r="44" spans="25:31" x14ac:dyDescent="0.3">
      <c r="Y44" s="5" t="s">
        <v>26</v>
      </c>
      <c r="Z44" s="2">
        <v>2.7881284476841084</v>
      </c>
      <c r="AA44" s="2">
        <v>4.532</v>
      </c>
      <c r="AB44" s="2">
        <v>1.0420969648800964</v>
      </c>
      <c r="AC44" s="2">
        <v>8.3622254125642055</v>
      </c>
    </row>
  </sheetData>
  <sortState xmlns:xlrd2="http://schemas.microsoft.com/office/spreadsheetml/2017/richdata2" ref="AC9:AC20">
    <sortCondition ref="AC9:AC20"/>
  </sortState>
  <phoneticPr fontId="2" type="noConversion"/>
  <pageMargins left="0.7" right="0.7" top="0.75" bottom="0.75" header="0.3" footer="0.3"/>
  <drawing r:id="rId4"/>
  <tableParts count="8"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D5C7-8B30-4834-9482-4E5D2514D71D}">
  <dimension ref="A1:AO45"/>
  <sheetViews>
    <sheetView showGridLines="0" topLeftCell="B7" zoomScale="85" zoomScaleNormal="85" workbookViewId="0">
      <selection activeCell="AM49" sqref="AM49"/>
    </sheetView>
  </sheetViews>
  <sheetFormatPr defaultRowHeight="14.4" x14ac:dyDescent="0.3"/>
  <cols>
    <col min="1" max="1" width="12.88671875" customWidth="1"/>
    <col min="2" max="2" width="13.6640625" customWidth="1"/>
    <col min="3" max="3" width="8.33203125" customWidth="1"/>
    <col min="4" max="4" width="8.6640625" customWidth="1"/>
    <col min="5" max="5" width="12.6640625" customWidth="1"/>
    <col min="6" max="6" width="11.109375" customWidth="1"/>
    <col min="8" max="8" width="3" style="26" customWidth="1"/>
    <col min="9" max="9" width="18.5546875" bestFit="1" customWidth="1"/>
    <col min="14" max="14" width="2.88671875" style="26" customWidth="1"/>
    <col min="15" max="15" width="13.44140625" bestFit="1" customWidth="1"/>
    <col min="16" max="16" width="16.44140625" bestFit="1" customWidth="1"/>
    <col min="17" max="17" width="20.33203125" bestFit="1" customWidth="1"/>
    <col min="18" max="18" width="11.44140625" bestFit="1" customWidth="1"/>
    <col min="19" max="20" width="12.44140625" bestFit="1" customWidth="1"/>
    <col min="21" max="21" width="11.6640625" customWidth="1"/>
    <col min="22" max="22" width="4.109375" style="26" customWidth="1"/>
    <col min="23" max="23" width="16.33203125" bestFit="1" customWidth="1"/>
    <col min="24" max="24" width="16.44140625" bestFit="1" customWidth="1"/>
    <col min="25" max="27" width="4.5546875" bestFit="1" customWidth="1"/>
    <col min="28" max="31" width="9.109375" customWidth="1"/>
    <col min="32" max="33" width="7.6640625" customWidth="1"/>
    <col min="34" max="34" width="4.44140625" style="26" customWidth="1"/>
    <col min="35" max="35" width="13.44140625" bestFit="1" customWidth="1"/>
    <col min="36" max="36" width="16.33203125" bestFit="1" customWidth="1"/>
    <col min="37" max="38" width="4.5546875" bestFit="1" customWidth="1"/>
    <col min="39" max="39" width="11.44140625" bestFit="1" customWidth="1"/>
    <col min="40" max="41" width="11.33203125" customWidth="1"/>
    <col min="42" max="42" width="11.44140625" bestFit="1" customWidth="1"/>
  </cols>
  <sheetData>
    <row r="1" spans="1:41" s="25" customFormat="1" x14ac:dyDescent="0.3">
      <c r="A1" s="24" t="s">
        <v>32</v>
      </c>
      <c r="I1" s="24" t="s">
        <v>43</v>
      </c>
      <c r="O1" s="24" t="s">
        <v>33</v>
      </c>
      <c r="W1" s="24" t="s">
        <v>36</v>
      </c>
      <c r="AI1" s="24" t="s">
        <v>39</v>
      </c>
    </row>
    <row r="2" spans="1:41" x14ac:dyDescent="0.3">
      <c r="A2" s="6" t="s">
        <v>44</v>
      </c>
      <c r="I2" s="6" t="s">
        <v>45</v>
      </c>
      <c r="O2" s="6" t="s">
        <v>45</v>
      </c>
      <c r="T2" s="28" t="s">
        <v>16</v>
      </c>
      <c r="U2" s="28">
        <v>0.25</v>
      </c>
      <c r="W2" s="27" t="s">
        <v>41</v>
      </c>
      <c r="AI2" t="s">
        <v>40</v>
      </c>
    </row>
    <row r="3" spans="1:41" x14ac:dyDescent="0.3">
      <c r="A3" s="6"/>
      <c r="I3" s="6"/>
      <c r="T3" s="28" t="s">
        <v>15</v>
      </c>
      <c r="U3" s="28">
        <v>0.75</v>
      </c>
    </row>
    <row r="4" spans="1:41" x14ac:dyDescent="0.3">
      <c r="A4" s="6"/>
      <c r="I4" s="6"/>
    </row>
    <row r="5" spans="1:41" x14ac:dyDescent="0.3">
      <c r="A5" s="6"/>
      <c r="I5" s="6"/>
      <c r="O5" s="6"/>
    </row>
    <row r="6" spans="1:41" x14ac:dyDescent="0.3">
      <c r="A6" s="6"/>
      <c r="I6" s="6"/>
    </row>
    <row r="8" spans="1:41" x14ac:dyDescent="0.3">
      <c r="A8" t="s">
        <v>6</v>
      </c>
      <c r="B8" t="s">
        <v>11</v>
      </c>
      <c r="C8" t="s">
        <v>2</v>
      </c>
      <c r="D8" t="s">
        <v>3</v>
      </c>
      <c r="E8" t="s">
        <v>4</v>
      </c>
      <c r="F8" t="s">
        <v>5</v>
      </c>
      <c r="G8" t="s">
        <v>51</v>
      </c>
      <c r="I8" t="s">
        <v>23</v>
      </c>
      <c r="J8" t="s">
        <v>17</v>
      </c>
      <c r="K8" t="s">
        <v>18</v>
      </c>
      <c r="L8" t="s">
        <v>20</v>
      </c>
      <c r="M8" t="s">
        <v>19</v>
      </c>
      <c r="O8" t="s">
        <v>23</v>
      </c>
      <c r="P8" t="s">
        <v>17</v>
      </c>
      <c r="Q8" t="s">
        <v>18</v>
      </c>
      <c r="R8" t="s">
        <v>20</v>
      </c>
      <c r="S8" t="s">
        <v>19</v>
      </c>
      <c r="W8" s="8" t="s">
        <v>6</v>
      </c>
      <c r="X8" s="8" t="s">
        <v>11</v>
      </c>
      <c r="Y8" s="8" t="s">
        <v>2</v>
      </c>
      <c r="Z8" s="8" t="s">
        <v>3</v>
      </c>
      <c r="AA8" s="8" t="s">
        <v>4</v>
      </c>
      <c r="AB8" s="8" t="s">
        <v>35</v>
      </c>
      <c r="AI8" s="20" t="s">
        <v>6</v>
      </c>
      <c r="AJ8" s="21" t="s">
        <v>11</v>
      </c>
      <c r="AK8" s="21" t="s">
        <v>2</v>
      </c>
      <c r="AL8" s="21" t="s">
        <v>3</v>
      </c>
      <c r="AM8" s="21" t="s">
        <v>4</v>
      </c>
      <c r="AN8" s="21" t="s">
        <v>35</v>
      </c>
    </row>
    <row r="9" spans="1:41" x14ac:dyDescent="0.3">
      <c r="A9" t="s">
        <v>0</v>
      </c>
      <c r="B9" t="s">
        <v>12</v>
      </c>
      <c r="C9" t="s">
        <v>1</v>
      </c>
      <c r="D9" t="s">
        <v>47</v>
      </c>
      <c r="E9" t="s">
        <v>7</v>
      </c>
      <c r="G9">
        <v>2.4497800000000001</v>
      </c>
      <c r="I9" t="s">
        <v>13</v>
      </c>
      <c r="J9" s="1">
        <f>G29</f>
        <v>3.0373999999999999</v>
      </c>
      <c r="K9" s="1">
        <f>G30</f>
        <v>3.3739499999999998</v>
      </c>
      <c r="L9" s="1">
        <f>G31</f>
        <v>3.8142200000000002</v>
      </c>
      <c r="M9" s="1">
        <f>G32</f>
        <v>3.6743399999999999</v>
      </c>
      <c r="O9" t="s">
        <v>22</v>
      </c>
      <c r="P9" s="2">
        <f>1/(U2+U3/1)</f>
        <v>1</v>
      </c>
      <c r="Q9" s="2">
        <f>1/(U2+U3/2)</f>
        <v>1.6</v>
      </c>
      <c r="R9" s="2">
        <f>1/(U2+U3/4)</f>
        <v>2.2857142857142856</v>
      </c>
      <c r="S9" s="2">
        <f>1/(U2+U3/8)</f>
        <v>2.9090909090909092</v>
      </c>
      <c r="W9" s="9" t="s">
        <v>0</v>
      </c>
      <c r="X9" s="9" t="s">
        <v>13</v>
      </c>
      <c r="Y9" s="9" t="s">
        <v>1</v>
      </c>
      <c r="Z9" s="9">
        <v>1</v>
      </c>
      <c r="AA9" s="9" t="s">
        <v>7</v>
      </c>
      <c r="AB9" s="15">
        <f t="shared" ref="AB9:AB20" si="0">G25</f>
        <v>1.8586499999999999</v>
      </c>
      <c r="AI9" s="12" t="s">
        <v>0</v>
      </c>
      <c r="AJ9" s="12" t="s">
        <v>13</v>
      </c>
      <c r="AK9" s="12" t="s">
        <v>1</v>
      </c>
      <c r="AL9" s="12">
        <v>1</v>
      </c>
      <c r="AM9" s="12" t="s">
        <v>7</v>
      </c>
      <c r="AN9" s="22">
        <f t="shared" ref="AN9" si="1">G25</f>
        <v>1.8586499999999999</v>
      </c>
    </row>
    <row r="10" spans="1:41" x14ac:dyDescent="0.3">
      <c r="A10" t="s">
        <v>0</v>
      </c>
      <c r="B10" t="s">
        <v>12</v>
      </c>
      <c r="C10" t="s">
        <v>1</v>
      </c>
      <c r="D10" t="s">
        <v>47</v>
      </c>
      <c r="E10" t="s">
        <v>8</v>
      </c>
      <c r="G10">
        <v>4.17659</v>
      </c>
      <c r="I10" t="s">
        <v>38</v>
      </c>
      <c r="J10" s="2">
        <f>Table367106[[#This Row],[Time]]</f>
        <v>4.17659</v>
      </c>
      <c r="K10" s="2">
        <f>G14</f>
        <v>3.6238800000000002</v>
      </c>
      <c r="L10" s="2">
        <f>G18</f>
        <v>4.06508</v>
      </c>
      <c r="M10" s="2">
        <f>G22</f>
        <v>4.20261</v>
      </c>
      <c r="O10" t="s">
        <v>24</v>
      </c>
      <c r="P10" s="2">
        <f>J9/Table7117[[#This Row],[core 1]]</f>
        <v>0.72724399569984122</v>
      </c>
      <c r="Q10" s="2">
        <f>K9/Table7117[[#This Row],[core 2]]</f>
        <v>0.93103248451935483</v>
      </c>
      <c r="R10" s="2">
        <f>L9/Table7117[[#This Row],[core 4]]</f>
        <v>0.93828903736211833</v>
      </c>
      <c r="S10" s="2">
        <f>M9/Table7117[[#This Row],[core 8]]</f>
        <v>0.87429954242720598</v>
      </c>
      <c r="W10" s="9" t="s">
        <v>0</v>
      </c>
      <c r="X10" s="9" t="s">
        <v>13</v>
      </c>
      <c r="Y10" s="9" t="s">
        <v>1</v>
      </c>
      <c r="Z10" s="9">
        <v>2</v>
      </c>
      <c r="AA10" s="9" t="s">
        <v>7</v>
      </c>
      <c r="AB10" s="15">
        <f t="shared" si="0"/>
        <v>2.2094999999999998</v>
      </c>
      <c r="AI10" s="12" t="s">
        <v>0</v>
      </c>
      <c r="AJ10" s="12" t="s">
        <v>13</v>
      </c>
      <c r="AK10" s="12" t="s">
        <v>1</v>
      </c>
      <c r="AL10" s="12">
        <v>1</v>
      </c>
      <c r="AM10" s="12" t="s">
        <v>8</v>
      </c>
      <c r="AN10" s="22">
        <f>G29</f>
        <v>3.0373999999999999</v>
      </c>
    </row>
    <row r="11" spans="1:41" x14ac:dyDescent="0.3">
      <c r="A11" t="s">
        <v>0</v>
      </c>
      <c r="B11" t="s">
        <v>12</v>
      </c>
      <c r="C11" t="s">
        <v>1</v>
      </c>
      <c r="D11" t="s">
        <v>47</v>
      </c>
      <c r="E11" t="s">
        <v>9</v>
      </c>
      <c r="G11">
        <v>7.4508799999999997</v>
      </c>
      <c r="W11" s="9" t="s">
        <v>0</v>
      </c>
      <c r="X11" s="9" t="s">
        <v>13</v>
      </c>
      <c r="Y11" s="9" t="s">
        <v>1</v>
      </c>
      <c r="Z11" s="9">
        <v>4</v>
      </c>
      <c r="AA11" s="9" t="s">
        <v>7</v>
      </c>
      <c r="AB11" s="15">
        <f t="shared" si="0"/>
        <v>2.5257200000000002</v>
      </c>
      <c r="AI11" s="16" t="s">
        <v>0</v>
      </c>
      <c r="AJ11" s="16" t="s">
        <v>13</v>
      </c>
      <c r="AK11" s="16" t="s">
        <v>1</v>
      </c>
      <c r="AL11" s="16">
        <v>1</v>
      </c>
      <c r="AM11" s="16" t="s">
        <v>9</v>
      </c>
      <c r="AN11" s="23">
        <f>G33</f>
        <v>5.1234299999999999</v>
      </c>
    </row>
    <row r="12" spans="1:41" x14ac:dyDescent="0.3">
      <c r="A12" s="30" t="s">
        <v>0</v>
      </c>
      <c r="B12" s="30" t="s">
        <v>12</v>
      </c>
      <c r="C12" s="30" t="s">
        <v>1</v>
      </c>
      <c r="D12" s="30" t="s">
        <v>47</v>
      </c>
      <c r="E12" s="30" t="s">
        <v>10</v>
      </c>
      <c r="F12" s="30"/>
      <c r="G12" s="30"/>
      <c r="J12" s="2"/>
      <c r="K12" s="2"/>
      <c r="L12" s="2"/>
      <c r="M12" s="2"/>
      <c r="W12" s="9" t="s">
        <v>0</v>
      </c>
      <c r="X12" s="9" t="s">
        <v>13</v>
      </c>
      <c r="Y12" s="9" t="s">
        <v>1</v>
      </c>
      <c r="Z12" s="9">
        <v>8</v>
      </c>
      <c r="AA12" s="9" t="s">
        <v>7</v>
      </c>
      <c r="AB12" s="15">
        <f t="shared" si="0"/>
        <v>2.5386799999999998</v>
      </c>
    </row>
    <row r="13" spans="1:41" x14ac:dyDescent="0.3">
      <c r="A13" t="s">
        <v>0</v>
      </c>
      <c r="B13" t="s">
        <v>12</v>
      </c>
      <c r="C13" t="s">
        <v>1</v>
      </c>
      <c r="D13" t="s">
        <v>48</v>
      </c>
      <c r="E13" t="s">
        <v>7</v>
      </c>
      <c r="G13">
        <v>2.2322000000000002</v>
      </c>
      <c r="O13" s="6" t="s">
        <v>34</v>
      </c>
      <c r="W13" s="9" t="s">
        <v>0</v>
      </c>
      <c r="X13" s="9" t="s">
        <v>13</v>
      </c>
      <c r="Y13" s="9" t="s">
        <v>1</v>
      </c>
      <c r="Z13" s="9">
        <v>1</v>
      </c>
      <c r="AA13" s="9" t="s">
        <v>8</v>
      </c>
      <c r="AB13" s="15">
        <f t="shared" si="0"/>
        <v>3.0373999999999999</v>
      </c>
    </row>
    <row r="14" spans="1:41" x14ac:dyDescent="0.3">
      <c r="A14" t="s">
        <v>0</v>
      </c>
      <c r="B14" t="s">
        <v>12</v>
      </c>
      <c r="C14" t="s">
        <v>1</v>
      </c>
      <c r="D14" t="s">
        <v>48</v>
      </c>
      <c r="E14" t="s">
        <v>8</v>
      </c>
      <c r="G14">
        <v>3.6238800000000002</v>
      </c>
      <c r="O14" t="s">
        <v>21</v>
      </c>
      <c r="P14" t="s">
        <v>51</v>
      </c>
      <c r="Q14" t="s">
        <v>52</v>
      </c>
      <c r="R14" t="s">
        <v>53</v>
      </c>
      <c r="W14" s="9" t="s">
        <v>0</v>
      </c>
      <c r="X14" s="9" t="s">
        <v>13</v>
      </c>
      <c r="Y14" s="9" t="s">
        <v>1</v>
      </c>
      <c r="Z14" s="9">
        <v>2</v>
      </c>
      <c r="AA14" s="9" t="s">
        <v>8</v>
      </c>
      <c r="AB14" s="15">
        <f t="shared" si="0"/>
        <v>3.3739499999999998</v>
      </c>
      <c r="AI14" s="11" t="s">
        <v>6</v>
      </c>
      <c r="AJ14" s="11" t="s">
        <v>11</v>
      </c>
      <c r="AK14" s="11" t="s">
        <v>2</v>
      </c>
      <c r="AL14" s="11" t="s">
        <v>3</v>
      </c>
      <c r="AM14" s="11" t="s">
        <v>4</v>
      </c>
      <c r="AN14" s="11" t="s">
        <v>35</v>
      </c>
      <c r="AO14" s="11" t="s">
        <v>42</v>
      </c>
    </row>
    <row r="15" spans="1:41" x14ac:dyDescent="0.3">
      <c r="A15" t="s">
        <v>0</v>
      </c>
      <c r="B15" t="s">
        <v>12</v>
      </c>
      <c r="C15" t="s">
        <v>1</v>
      </c>
      <c r="D15" t="s">
        <v>48</v>
      </c>
      <c r="E15" t="s">
        <v>9</v>
      </c>
      <c r="G15">
        <v>6.1175300000000004</v>
      </c>
      <c r="O15" t="s">
        <v>30</v>
      </c>
      <c r="P15" s="2">
        <f>P9</f>
        <v>1</v>
      </c>
      <c r="Q15" t="s">
        <v>17</v>
      </c>
      <c r="R15" t="s">
        <v>8</v>
      </c>
      <c r="W15" s="9" t="s">
        <v>0</v>
      </c>
      <c r="X15" s="9" t="s">
        <v>13</v>
      </c>
      <c r="Y15" s="9" t="s">
        <v>1</v>
      </c>
      <c r="Z15" s="9">
        <v>4</v>
      </c>
      <c r="AA15" s="9" t="s">
        <v>8</v>
      </c>
      <c r="AB15" s="15">
        <f t="shared" si="0"/>
        <v>3.8142200000000002</v>
      </c>
      <c r="AI15" s="12" t="s">
        <v>0</v>
      </c>
      <c r="AJ15" s="12" t="s">
        <v>12</v>
      </c>
      <c r="AK15" s="12" t="s">
        <v>1</v>
      </c>
      <c r="AL15" s="12" t="s">
        <v>48</v>
      </c>
      <c r="AM15" s="12" t="s">
        <v>7</v>
      </c>
      <c r="AN15" s="13">
        <f t="shared" ref="AN15:AN17" si="2">G21</f>
        <v>2.75447</v>
      </c>
      <c r="AO15" s="14">
        <f>AN9/Table13216[[#This Row],[Ex time]]</f>
        <v>0.67477590970313706</v>
      </c>
    </row>
    <row r="16" spans="1:41" x14ac:dyDescent="0.3">
      <c r="A16" s="30" t="s">
        <v>0</v>
      </c>
      <c r="B16" s="30" t="s">
        <v>12</v>
      </c>
      <c r="C16" s="30" t="s">
        <v>1</v>
      </c>
      <c r="D16" s="30" t="s">
        <v>48</v>
      </c>
      <c r="E16" s="30" t="s">
        <v>10</v>
      </c>
      <c r="F16" s="30"/>
      <c r="G16" s="30"/>
      <c r="O16" t="s">
        <v>30</v>
      </c>
      <c r="P16" s="2">
        <f>Q9</f>
        <v>1.6</v>
      </c>
      <c r="Q16" t="s">
        <v>18</v>
      </c>
      <c r="R16" t="s">
        <v>8</v>
      </c>
      <c r="W16" s="9" t="s">
        <v>0</v>
      </c>
      <c r="X16" s="9" t="s">
        <v>13</v>
      </c>
      <c r="Y16" s="9" t="s">
        <v>1</v>
      </c>
      <c r="Z16" s="9">
        <v>8</v>
      </c>
      <c r="AA16" s="9" t="s">
        <v>8</v>
      </c>
      <c r="AB16" s="15">
        <f t="shared" si="0"/>
        <v>3.6743399999999999</v>
      </c>
      <c r="AI16" s="12" t="s">
        <v>0</v>
      </c>
      <c r="AJ16" s="12" t="s">
        <v>12</v>
      </c>
      <c r="AK16" s="12" t="s">
        <v>1</v>
      </c>
      <c r="AL16" s="12" t="s">
        <v>49</v>
      </c>
      <c r="AM16" s="12" t="s">
        <v>8</v>
      </c>
      <c r="AN16" s="18">
        <f t="shared" si="2"/>
        <v>4.20261</v>
      </c>
      <c r="AO16" s="13">
        <f>AN10/Table13216[[#This Row],[Ex time]]</f>
        <v>0.72274134406951873</v>
      </c>
    </row>
    <row r="17" spans="1:41" x14ac:dyDescent="0.3">
      <c r="A17" t="s">
        <v>0</v>
      </c>
      <c r="B17" t="s">
        <v>12</v>
      </c>
      <c r="C17" t="s">
        <v>1</v>
      </c>
      <c r="D17" t="s">
        <v>49</v>
      </c>
      <c r="E17" t="s">
        <v>7</v>
      </c>
      <c r="G17">
        <v>2.5677699999999999</v>
      </c>
      <c r="O17" t="s">
        <v>30</v>
      </c>
      <c r="P17" s="2">
        <f>R9</f>
        <v>2.2857142857142856</v>
      </c>
      <c r="Q17" t="s">
        <v>20</v>
      </c>
      <c r="R17" t="s">
        <v>8</v>
      </c>
      <c r="W17" s="9" t="s">
        <v>0</v>
      </c>
      <c r="X17" s="9" t="s">
        <v>13</v>
      </c>
      <c r="Y17" s="9" t="s">
        <v>1</v>
      </c>
      <c r="Z17" s="9">
        <v>1</v>
      </c>
      <c r="AA17" s="9" t="s">
        <v>9</v>
      </c>
      <c r="AB17" s="15">
        <f t="shared" si="0"/>
        <v>5.1234299999999999</v>
      </c>
      <c r="AI17" s="16" t="s">
        <v>0</v>
      </c>
      <c r="AJ17" s="16" t="s">
        <v>12</v>
      </c>
      <c r="AK17" s="16" t="s">
        <v>1</v>
      </c>
      <c r="AL17" s="16" t="s">
        <v>50</v>
      </c>
      <c r="AM17" s="16" t="s">
        <v>9</v>
      </c>
      <c r="AN17" s="17">
        <f t="shared" si="2"/>
        <v>7.1140699999999999</v>
      </c>
      <c r="AO17" s="13">
        <f>AN11/Table13216[[#This Row],[Ex time]]</f>
        <v>0.72018268023789478</v>
      </c>
    </row>
    <row r="18" spans="1:41" x14ac:dyDescent="0.3">
      <c r="A18" t="s">
        <v>0</v>
      </c>
      <c r="B18" t="s">
        <v>12</v>
      </c>
      <c r="C18" t="s">
        <v>1</v>
      </c>
      <c r="D18" t="s">
        <v>49</v>
      </c>
      <c r="E18" t="s">
        <v>8</v>
      </c>
      <c r="G18">
        <v>4.06508</v>
      </c>
      <c r="O18" t="s">
        <v>30</v>
      </c>
      <c r="P18" s="2">
        <f>S9</f>
        <v>2.9090909090909092</v>
      </c>
      <c r="Q18" t="s">
        <v>19</v>
      </c>
      <c r="R18" t="s">
        <v>8</v>
      </c>
      <c r="W18" s="9" t="s">
        <v>0</v>
      </c>
      <c r="X18" s="9" t="s">
        <v>13</v>
      </c>
      <c r="Y18" s="9" t="s">
        <v>1</v>
      </c>
      <c r="Z18" s="9">
        <v>2</v>
      </c>
      <c r="AA18" s="9" t="s">
        <v>9</v>
      </c>
      <c r="AB18" s="15">
        <f t="shared" si="0"/>
        <v>5.4134200000000003</v>
      </c>
    </row>
    <row r="19" spans="1:41" x14ac:dyDescent="0.3">
      <c r="A19" t="s">
        <v>0</v>
      </c>
      <c r="B19" t="s">
        <v>12</v>
      </c>
      <c r="C19" t="s">
        <v>1</v>
      </c>
      <c r="D19" t="s">
        <v>49</v>
      </c>
      <c r="E19" t="s">
        <v>9</v>
      </c>
      <c r="G19">
        <v>7.1958000000000002</v>
      </c>
      <c r="O19" t="s">
        <v>24</v>
      </c>
      <c r="P19" s="2">
        <f>P10</f>
        <v>0.72724399569984122</v>
      </c>
      <c r="Q19" t="s">
        <v>17</v>
      </c>
      <c r="R19" t="s">
        <v>8</v>
      </c>
      <c r="W19" s="9" t="s">
        <v>0</v>
      </c>
      <c r="X19" s="9" t="s">
        <v>13</v>
      </c>
      <c r="Y19" s="9" t="s">
        <v>1</v>
      </c>
      <c r="Z19" s="9">
        <v>4</v>
      </c>
      <c r="AA19" s="9" t="s">
        <v>9</v>
      </c>
      <c r="AB19" s="15">
        <f t="shared" si="0"/>
        <v>5.7786</v>
      </c>
    </row>
    <row r="20" spans="1:41" x14ac:dyDescent="0.3">
      <c r="A20" s="30" t="s">
        <v>0</v>
      </c>
      <c r="B20" s="30" t="s">
        <v>12</v>
      </c>
      <c r="C20" s="30" t="s">
        <v>1</v>
      </c>
      <c r="D20" s="30" t="s">
        <v>49</v>
      </c>
      <c r="E20" s="30" t="s">
        <v>10</v>
      </c>
      <c r="F20" s="30"/>
      <c r="G20" s="30"/>
      <c r="O20" t="s">
        <v>24</v>
      </c>
      <c r="P20" s="2">
        <f>Q10</f>
        <v>0.93103248451935483</v>
      </c>
      <c r="Q20" t="s">
        <v>18</v>
      </c>
      <c r="R20" t="s">
        <v>8</v>
      </c>
      <c r="W20" s="9" t="s">
        <v>0</v>
      </c>
      <c r="X20" s="9" t="s">
        <v>13</v>
      </c>
      <c r="Y20" s="9" t="s">
        <v>1</v>
      </c>
      <c r="Z20" s="9">
        <v>8</v>
      </c>
      <c r="AA20" s="9" t="s">
        <v>9</v>
      </c>
      <c r="AB20" s="15">
        <f t="shared" si="0"/>
        <v>0.80871999999999999</v>
      </c>
    </row>
    <row r="21" spans="1:41" x14ac:dyDescent="0.3">
      <c r="A21" t="s">
        <v>0</v>
      </c>
      <c r="B21" t="s">
        <v>12</v>
      </c>
      <c r="C21" t="s">
        <v>1</v>
      </c>
      <c r="D21" t="s">
        <v>50</v>
      </c>
      <c r="E21" t="s">
        <v>7</v>
      </c>
      <c r="G21">
        <v>2.75447</v>
      </c>
      <c r="O21" t="s">
        <v>24</v>
      </c>
      <c r="P21" s="2">
        <f>R10</f>
        <v>0.93828903736211833</v>
      </c>
      <c r="Q21" t="s">
        <v>20</v>
      </c>
      <c r="R21" t="s">
        <v>8</v>
      </c>
      <c r="AI21" s="4" t="s">
        <v>25</v>
      </c>
      <c r="AJ21" t="s">
        <v>46</v>
      </c>
    </row>
    <row r="22" spans="1:41" x14ac:dyDescent="0.3">
      <c r="A22" t="s">
        <v>0</v>
      </c>
      <c r="B22" t="s">
        <v>12</v>
      </c>
      <c r="C22" t="s">
        <v>1</v>
      </c>
      <c r="D22" t="s">
        <v>50</v>
      </c>
      <c r="E22" t="s">
        <v>8</v>
      </c>
      <c r="G22">
        <v>4.20261</v>
      </c>
      <c r="L22" s="2"/>
      <c r="M22" s="3"/>
      <c r="O22" t="s">
        <v>24</v>
      </c>
      <c r="P22" s="2">
        <f>S10</f>
        <v>0.87429954242720598</v>
      </c>
      <c r="Q22" t="s">
        <v>19</v>
      </c>
      <c r="R22" t="s">
        <v>8</v>
      </c>
      <c r="W22" s="11" t="s">
        <v>6</v>
      </c>
      <c r="X22" s="11" t="s">
        <v>11</v>
      </c>
      <c r="Y22" s="11" t="s">
        <v>2</v>
      </c>
      <c r="Z22" s="11" t="s">
        <v>3</v>
      </c>
      <c r="AA22" s="11" t="s">
        <v>4</v>
      </c>
      <c r="AB22" s="11" t="s">
        <v>35</v>
      </c>
      <c r="AC22" s="11" t="s">
        <v>21</v>
      </c>
      <c r="AD22" s="8"/>
      <c r="AE22" s="8"/>
      <c r="AI22" s="5" t="s">
        <v>48</v>
      </c>
      <c r="AJ22" s="2">
        <v>0.67477590970313706</v>
      </c>
    </row>
    <row r="23" spans="1:41" x14ac:dyDescent="0.3">
      <c r="A23" t="s">
        <v>0</v>
      </c>
      <c r="B23" t="s">
        <v>12</v>
      </c>
      <c r="C23" t="s">
        <v>1</v>
      </c>
      <c r="D23" t="s">
        <v>50</v>
      </c>
      <c r="E23" t="s">
        <v>9</v>
      </c>
      <c r="G23">
        <v>7.1140699999999999</v>
      </c>
      <c r="L23" s="2"/>
      <c r="M23" s="2"/>
      <c r="W23" s="12" t="s">
        <v>0</v>
      </c>
      <c r="X23" s="12" t="s">
        <v>12</v>
      </c>
      <c r="Y23" s="12" t="s">
        <v>1</v>
      </c>
      <c r="Z23" s="12" t="s">
        <v>47</v>
      </c>
      <c r="AA23" s="12" t="s">
        <v>7</v>
      </c>
      <c r="AB23" s="13">
        <f t="shared" ref="AB23" si="3">G9</f>
        <v>2.4497800000000001</v>
      </c>
      <c r="AC23" s="14">
        <f>AB9/Table1315[[#This Row],[Ex time]]</f>
        <v>0.7587007812946468</v>
      </c>
      <c r="AD23" s="15"/>
      <c r="AE23" s="15"/>
      <c r="AI23" s="29" t="s">
        <v>7</v>
      </c>
      <c r="AJ23" s="2">
        <v>0.67477590970313706</v>
      </c>
    </row>
    <row r="24" spans="1:41" x14ac:dyDescent="0.3">
      <c r="A24" s="30" t="s">
        <v>0</v>
      </c>
      <c r="B24" s="30" t="s">
        <v>12</v>
      </c>
      <c r="C24" s="30" t="s">
        <v>1</v>
      </c>
      <c r="D24" s="30" t="s">
        <v>50</v>
      </c>
      <c r="E24" s="30" t="s">
        <v>10</v>
      </c>
      <c r="F24" s="30"/>
      <c r="G24" s="30"/>
      <c r="O24" s="4" t="s">
        <v>54</v>
      </c>
      <c r="P24" s="4" t="s">
        <v>27</v>
      </c>
      <c r="W24" s="12" t="s">
        <v>0</v>
      </c>
      <c r="X24" s="12" t="s">
        <v>12</v>
      </c>
      <c r="Y24" s="12" t="s">
        <v>1</v>
      </c>
      <c r="Z24" s="12" t="s">
        <v>48</v>
      </c>
      <c r="AA24" s="12" t="s">
        <v>7</v>
      </c>
      <c r="AB24" s="13">
        <f>G13</f>
        <v>2.2322000000000002</v>
      </c>
      <c r="AC24" s="14">
        <f>AB9/Table1315[[#This Row],[Ex time]]</f>
        <v>0.83265388406056795</v>
      </c>
      <c r="AD24" s="15"/>
      <c r="AE24" s="15"/>
      <c r="AI24" s="5" t="s">
        <v>49</v>
      </c>
      <c r="AJ24" s="2">
        <v>0.72274134406951873</v>
      </c>
    </row>
    <row r="25" spans="1:41" x14ac:dyDescent="0.3">
      <c r="A25" t="s">
        <v>0</v>
      </c>
      <c r="B25" t="s">
        <v>13</v>
      </c>
      <c r="C25" t="s">
        <v>1</v>
      </c>
      <c r="D25" t="s">
        <v>47</v>
      </c>
      <c r="E25" t="s">
        <v>7</v>
      </c>
      <c r="G25">
        <v>1.8586499999999999</v>
      </c>
      <c r="O25" s="4" t="s">
        <v>25</v>
      </c>
      <c r="P25" t="s">
        <v>24</v>
      </c>
      <c r="Q25" t="s">
        <v>30</v>
      </c>
      <c r="R25" t="s">
        <v>26</v>
      </c>
      <c r="W25" s="12" t="s">
        <v>0</v>
      </c>
      <c r="X25" s="12" t="s">
        <v>12</v>
      </c>
      <c r="Y25" s="12" t="s">
        <v>1</v>
      </c>
      <c r="Z25" s="12" t="s">
        <v>49</v>
      </c>
      <c r="AA25" s="12" t="s">
        <v>7</v>
      </c>
      <c r="AB25" s="15">
        <f>G17</f>
        <v>2.5677699999999999</v>
      </c>
      <c r="AC25" s="13">
        <f>AB9/Table1315[[#This Row],[Ex time]]</f>
        <v>0.72383819423079165</v>
      </c>
      <c r="AD25" s="15"/>
      <c r="AE25" s="15"/>
      <c r="AI25" s="29" t="s">
        <v>8</v>
      </c>
      <c r="AJ25" s="2">
        <v>0.72274134406951873</v>
      </c>
    </row>
    <row r="26" spans="1:41" x14ac:dyDescent="0.3">
      <c r="A26" t="s">
        <v>0</v>
      </c>
      <c r="B26" t="s">
        <v>13</v>
      </c>
      <c r="C26" t="s">
        <v>1</v>
      </c>
      <c r="D26" t="s">
        <v>48</v>
      </c>
      <c r="E26" t="s">
        <v>7</v>
      </c>
      <c r="G26">
        <v>2.2094999999999998</v>
      </c>
      <c r="O26" s="7" t="s">
        <v>17</v>
      </c>
      <c r="P26" s="2">
        <v>0.72724399569984122</v>
      </c>
      <c r="Q26" s="2">
        <v>1</v>
      </c>
      <c r="R26" s="2">
        <v>1.7272439956998413</v>
      </c>
      <c r="W26" s="16" t="s">
        <v>0</v>
      </c>
      <c r="X26" s="16" t="s">
        <v>12</v>
      </c>
      <c r="Y26" s="16" t="s">
        <v>1</v>
      </c>
      <c r="Z26" s="16" t="s">
        <v>50</v>
      </c>
      <c r="AA26" s="12" t="s">
        <v>7</v>
      </c>
      <c r="AB26" s="17">
        <f>G21</f>
        <v>2.75447</v>
      </c>
      <c r="AC26" s="17">
        <f>AB9/Table1315[[#This Row],[Ex time]]</f>
        <v>0.67477590970313706</v>
      </c>
      <c r="AD26" s="15"/>
      <c r="AE26" s="15"/>
      <c r="AI26" s="5" t="s">
        <v>50</v>
      </c>
      <c r="AJ26" s="2">
        <v>0.72018268023789478</v>
      </c>
    </row>
    <row r="27" spans="1:41" x14ac:dyDescent="0.3">
      <c r="A27" t="s">
        <v>0</v>
      </c>
      <c r="B27" t="s">
        <v>13</v>
      </c>
      <c r="C27" t="s">
        <v>1</v>
      </c>
      <c r="D27" t="s">
        <v>49</v>
      </c>
      <c r="E27" t="s">
        <v>7</v>
      </c>
      <c r="G27">
        <v>2.5257200000000002</v>
      </c>
      <c r="O27" s="7" t="s">
        <v>18</v>
      </c>
      <c r="P27" s="2">
        <v>0.93103248451935483</v>
      </c>
      <c r="Q27" s="2">
        <v>1.6</v>
      </c>
      <c r="R27" s="2">
        <v>2.531032484519355</v>
      </c>
      <c r="W27" s="12" t="s">
        <v>0</v>
      </c>
      <c r="X27" s="12" t="s">
        <v>12</v>
      </c>
      <c r="Y27" s="12" t="s">
        <v>1</v>
      </c>
      <c r="Z27" s="12" t="s">
        <v>47</v>
      </c>
      <c r="AA27" s="12" t="s">
        <v>8</v>
      </c>
      <c r="AB27" s="18">
        <f>G10</f>
        <v>4.17659</v>
      </c>
      <c r="AC27" s="13">
        <f>AB24/Table1315[[#This Row],[Ex time]]</f>
        <v>0.53445514163468288</v>
      </c>
      <c r="AD27" s="15"/>
      <c r="AE27" s="15"/>
      <c r="AI27" s="29" t="s">
        <v>9</v>
      </c>
      <c r="AJ27" s="2">
        <v>0.72018268023789478</v>
      </c>
    </row>
    <row r="28" spans="1:41" x14ac:dyDescent="0.3">
      <c r="A28" t="s">
        <v>0</v>
      </c>
      <c r="B28" t="s">
        <v>13</v>
      </c>
      <c r="C28" t="s">
        <v>1</v>
      </c>
      <c r="D28" t="s">
        <v>50</v>
      </c>
      <c r="E28" t="s">
        <v>7</v>
      </c>
      <c r="G28">
        <v>2.5386799999999998</v>
      </c>
      <c r="O28" s="7" t="s">
        <v>20</v>
      </c>
      <c r="P28" s="2">
        <v>0.93828903736211833</v>
      </c>
      <c r="Q28" s="2">
        <v>2.2857142857142856</v>
      </c>
      <c r="R28" s="2">
        <v>3.224003323076404</v>
      </c>
      <c r="W28" s="12" t="s">
        <v>0</v>
      </c>
      <c r="X28" s="12" t="s">
        <v>12</v>
      </c>
      <c r="Y28" s="12" t="s">
        <v>1</v>
      </c>
      <c r="Z28" s="12" t="s">
        <v>48</v>
      </c>
      <c r="AA28" s="12" t="s">
        <v>8</v>
      </c>
      <c r="AB28" s="18">
        <f>G14</f>
        <v>3.6238800000000002</v>
      </c>
      <c r="AC28" s="13">
        <f>AB24/Table1315[[#This Row],[Ex time]]</f>
        <v>0.61596962371822472</v>
      </c>
      <c r="AD28" s="15"/>
      <c r="AE28" s="15"/>
      <c r="AI28" s="5" t="s">
        <v>26</v>
      </c>
      <c r="AJ28" s="2">
        <v>2.1176999340105507</v>
      </c>
    </row>
    <row r="29" spans="1:41" x14ac:dyDescent="0.3">
      <c r="A29" t="s">
        <v>0</v>
      </c>
      <c r="B29" t="s">
        <v>13</v>
      </c>
      <c r="C29" t="s">
        <v>1</v>
      </c>
      <c r="D29" t="s">
        <v>47</v>
      </c>
      <c r="E29" t="s">
        <v>8</v>
      </c>
      <c r="G29">
        <v>3.0373999999999999</v>
      </c>
      <c r="O29" s="7" t="s">
        <v>19</v>
      </c>
      <c r="P29" s="2">
        <v>0.87429954242720598</v>
      </c>
      <c r="Q29" s="2">
        <v>2.9090909090909092</v>
      </c>
      <c r="R29" s="2">
        <v>3.7833904515181151</v>
      </c>
      <c r="W29" s="12" t="s">
        <v>0</v>
      </c>
      <c r="X29" s="12" t="s">
        <v>12</v>
      </c>
      <c r="Y29" s="12" t="s">
        <v>1</v>
      </c>
      <c r="Z29" s="12" t="s">
        <v>49</v>
      </c>
      <c r="AA29" s="12" t="s">
        <v>8</v>
      </c>
      <c r="AB29" s="18">
        <f>G18</f>
        <v>4.06508</v>
      </c>
      <c r="AC29" s="13">
        <f>AB24/Table1315[[#This Row],[Ex time]]</f>
        <v>0.54911588455823757</v>
      </c>
      <c r="AD29" s="15"/>
      <c r="AE29" s="15"/>
    </row>
    <row r="30" spans="1:41" x14ac:dyDescent="0.3">
      <c r="A30" t="s">
        <v>0</v>
      </c>
      <c r="B30" t="s">
        <v>13</v>
      </c>
      <c r="C30" t="s">
        <v>1</v>
      </c>
      <c r="D30" t="s">
        <v>48</v>
      </c>
      <c r="E30" t="s">
        <v>8</v>
      </c>
      <c r="G30">
        <v>3.3739499999999998</v>
      </c>
      <c r="O30" s="7" t="s">
        <v>26</v>
      </c>
      <c r="P30" s="2">
        <v>3.4708650600085202</v>
      </c>
      <c r="Q30" s="2">
        <v>7.7948051948051953</v>
      </c>
      <c r="R30" s="2">
        <v>11.265670254813717</v>
      </c>
      <c r="W30" s="16" t="s">
        <v>0</v>
      </c>
      <c r="X30" s="16" t="s">
        <v>12</v>
      </c>
      <c r="Y30" s="16" t="s">
        <v>1</v>
      </c>
      <c r="Z30" s="16" t="s">
        <v>50</v>
      </c>
      <c r="AA30" s="16" t="s">
        <v>8</v>
      </c>
      <c r="AB30" s="19">
        <f>G22</f>
        <v>4.20261</v>
      </c>
      <c r="AC30" s="13">
        <f>AB24/Table1315[[#This Row],[Ex time]]</f>
        <v>0.53114612110093495</v>
      </c>
      <c r="AD30" s="15"/>
      <c r="AE30" s="15"/>
    </row>
    <row r="31" spans="1:41" x14ac:dyDescent="0.3">
      <c r="A31" t="s">
        <v>0</v>
      </c>
      <c r="B31" t="s">
        <v>13</v>
      </c>
      <c r="C31" t="s">
        <v>1</v>
      </c>
      <c r="D31" t="s">
        <v>49</v>
      </c>
      <c r="E31" t="s">
        <v>8</v>
      </c>
      <c r="G31">
        <v>3.8142200000000002</v>
      </c>
      <c r="W31" s="12" t="s">
        <v>0</v>
      </c>
      <c r="X31" s="12" t="s">
        <v>12</v>
      </c>
      <c r="Y31" s="12" t="s">
        <v>1</v>
      </c>
      <c r="Z31" s="12" t="s">
        <v>47</v>
      </c>
      <c r="AA31" s="12" t="s">
        <v>9</v>
      </c>
      <c r="AB31" s="13">
        <f>G11</f>
        <v>7.4508799999999997</v>
      </c>
      <c r="AC31" s="13">
        <f>AB9/Table1315[[#This Row],[Ex time]]</f>
        <v>0.24945375579797285</v>
      </c>
      <c r="AD31" s="15"/>
      <c r="AE31" s="15"/>
    </row>
    <row r="32" spans="1:41" x14ac:dyDescent="0.3">
      <c r="A32" t="s">
        <v>0</v>
      </c>
      <c r="B32" t="s">
        <v>13</v>
      </c>
      <c r="C32" t="s">
        <v>1</v>
      </c>
      <c r="D32" t="s">
        <v>50</v>
      </c>
      <c r="E32" t="s">
        <v>8</v>
      </c>
      <c r="G32">
        <v>3.6743399999999999</v>
      </c>
      <c r="W32" s="12" t="s">
        <v>0</v>
      </c>
      <c r="X32" s="12" t="s">
        <v>12</v>
      </c>
      <c r="Y32" s="12" t="s">
        <v>1</v>
      </c>
      <c r="Z32" s="12" t="s">
        <v>48</v>
      </c>
      <c r="AA32" s="12" t="s">
        <v>9</v>
      </c>
      <c r="AB32" s="13">
        <f>G15</f>
        <v>6.1175300000000004</v>
      </c>
      <c r="AC32" s="13">
        <f>AB9/Table1315[[#This Row],[Ex time]]</f>
        <v>0.30382360200930764</v>
      </c>
      <c r="AD32" s="15"/>
      <c r="AE32" s="15"/>
    </row>
    <row r="33" spans="1:31" x14ac:dyDescent="0.3">
      <c r="A33" s="9" t="s">
        <v>0</v>
      </c>
      <c r="B33" s="9" t="s">
        <v>13</v>
      </c>
      <c r="C33" s="9" t="s">
        <v>1</v>
      </c>
      <c r="D33" t="s">
        <v>47</v>
      </c>
      <c r="E33" s="9" t="s">
        <v>9</v>
      </c>
      <c r="G33">
        <v>5.1234299999999999</v>
      </c>
      <c r="W33" s="12" t="s">
        <v>0</v>
      </c>
      <c r="X33" s="12" t="s">
        <v>12</v>
      </c>
      <c r="Y33" s="12" t="s">
        <v>1</v>
      </c>
      <c r="Z33" s="12" t="s">
        <v>49</v>
      </c>
      <c r="AA33" s="12" t="s">
        <v>9</v>
      </c>
      <c r="AB33" s="13">
        <f>G19</f>
        <v>7.1958000000000002</v>
      </c>
      <c r="AC33" s="13">
        <f>AB9/Table1315[[#This Row],[Ex time]]</f>
        <v>0.2582965062953389</v>
      </c>
      <c r="AD33" s="15"/>
      <c r="AE33" s="15"/>
    </row>
    <row r="34" spans="1:31" x14ac:dyDescent="0.3">
      <c r="A34" s="9" t="s">
        <v>0</v>
      </c>
      <c r="B34" s="9" t="s">
        <v>13</v>
      </c>
      <c r="C34" s="9" t="s">
        <v>1</v>
      </c>
      <c r="D34" t="s">
        <v>48</v>
      </c>
      <c r="E34" s="9" t="s">
        <v>9</v>
      </c>
      <c r="G34">
        <v>5.4134200000000003</v>
      </c>
      <c r="W34" s="16" t="s">
        <v>0</v>
      </c>
      <c r="X34" s="16" t="s">
        <v>12</v>
      </c>
      <c r="Y34" s="16" t="s">
        <v>1</v>
      </c>
      <c r="Z34" s="16" t="s">
        <v>50</v>
      </c>
      <c r="AA34" s="16" t="s">
        <v>9</v>
      </c>
      <c r="AB34" s="17">
        <f>G23</f>
        <v>7.1140699999999999</v>
      </c>
      <c r="AC34" s="13">
        <f>AB9/Table1315[[#This Row],[Ex time]]</f>
        <v>0.26126394595498781</v>
      </c>
      <c r="AD34" s="15"/>
      <c r="AE34" s="15"/>
    </row>
    <row r="35" spans="1:31" x14ac:dyDescent="0.3">
      <c r="A35" s="9" t="s">
        <v>0</v>
      </c>
      <c r="B35" s="9" t="s">
        <v>13</v>
      </c>
      <c r="C35" s="9" t="s">
        <v>1</v>
      </c>
      <c r="D35" t="s">
        <v>49</v>
      </c>
      <c r="E35" s="9" t="s">
        <v>9</v>
      </c>
      <c r="G35">
        <v>5.7786</v>
      </c>
    </row>
    <row r="36" spans="1:31" x14ac:dyDescent="0.3">
      <c r="A36" s="9" t="s">
        <v>0</v>
      </c>
      <c r="B36" s="9" t="s">
        <v>13</v>
      </c>
      <c r="C36" s="9" t="s">
        <v>1</v>
      </c>
      <c r="D36" t="s">
        <v>50</v>
      </c>
      <c r="E36" s="9" t="s">
        <v>9</v>
      </c>
      <c r="G36">
        <v>0.80871999999999999</v>
      </c>
    </row>
    <row r="40" spans="1:31" x14ac:dyDescent="0.3">
      <c r="W40" s="4" t="s">
        <v>37</v>
      </c>
      <c r="X40" s="4" t="s">
        <v>27</v>
      </c>
    </row>
    <row r="41" spans="1:31" x14ac:dyDescent="0.3">
      <c r="W41" s="4" t="s">
        <v>25</v>
      </c>
      <c r="X41" t="s">
        <v>7</v>
      </c>
      <c r="Y41" t="s">
        <v>8</v>
      </c>
      <c r="Z41" t="s">
        <v>9</v>
      </c>
    </row>
    <row r="42" spans="1:31" x14ac:dyDescent="0.3">
      <c r="W42" s="5" t="s">
        <v>47</v>
      </c>
      <c r="X42" s="2">
        <v>0.7587007812946468</v>
      </c>
      <c r="Y42" s="2">
        <v>0.53445514163468288</v>
      </c>
      <c r="Z42" s="2">
        <v>0.24945375579797285</v>
      </c>
    </row>
    <row r="43" spans="1:31" x14ac:dyDescent="0.3">
      <c r="W43" s="5" t="s">
        <v>48</v>
      </c>
      <c r="X43" s="2">
        <v>0.83265388406056795</v>
      </c>
      <c r="Y43" s="2">
        <v>0.61596962371822472</v>
      </c>
      <c r="Z43" s="2">
        <v>0.30382360200930764</v>
      </c>
    </row>
    <row r="44" spans="1:31" x14ac:dyDescent="0.3">
      <c r="W44" s="5" t="s">
        <v>49</v>
      </c>
      <c r="X44" s="2">
        <v>0.72383819423079165</v>
      </c>
      <c r="Y44" s="2">
        <v>0.54911588455823757</v>
      </c>
      <c r="Z44" s="2">
        <v>0.2582965062953389</v>
      </c>
    </row>
    <row r="45" spans="1:31" x14ac:dyDescent="0.3">
      <c r="W45" s="5" t="s">
        <v>50</v>
      </c>
      <c r="X45" s="2">
        <v>0.67477590970313706</v>
      </c>
      <c r="Y45" s="2">
        <v>0.53114612110093495</v>
      </c>
      <c r="Z45" s="2">
        <v>0.26126394595498781</v>
      </c>
    </row>
  </sheetData>
  <pageMargins left="0.7" right="0.7" top="0.75" bottom="0.75" header="0.3" footer="0.3"/>
  <drawing r:id="rId4"/>
  <tableParts count="8"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3280-3DB3-4D9E-A58F-0A8B16050740}">
  <dimension ref="A1:AO43"/>
  <sheetViews>
    <sheetView showGridLines="0" topLeftCell="T25" zoomScale="85" zoomScaleNormal="85" workbookViewId="0">
      <selection activeCell="AM49" sqref="AM49"/>
    </sheetView>
  </sheetViews>
  <sheetFormatPr defaultRowHeight="14.4" x14ac:dyDescent="0.3"/>
  <cols>
    <col min="1" max="1" width="12.88671875" customWidth="1"/>
    <col min="2" max="2" width="13.6640625" customWidth="1"/>
    <col min="3" max="3" width="8.33203125" customWidth="1"/>
    <col min="4" max="4" width="8.6640625" customWidth="1"/>
    <col min="5" max="5" width="12.6640625" customWidth="1"/>
    <col min="6" max="6" width="11.109375" customWidth="1"/>
    <col min="8" max="8" width="3" style="26" customWidth="1"/>
    <col min="9" max="9" width="18.5546875" bestFit="1" customWidth="1"/>
    <col min="14" max="14" width="2.88671875" style="26" customWidth="1"/>
    <col min="15" max="15" width="13.44140625" bestFit="1" customWidth="1"/>
    <col min="16" max="16" width="16.44140625" bestFit="1" customWidth="1"/>
    <col min="17" max="17" width="20.33203125" bestFit="1" customWidth="1"/>
    <col min="18" max="18" width="11.44140625" bestFit="1" customWidth="1"/>
    <col min="19" max="19" width="6.33203125" bestFit="1" customWidth="1"/>
    <col min="20" max="20" width="11.44140625" bestFit="1" customWidth="1"/>
    <col min="21" max="21" width="11.6640625" customWidth="1"/>
    <col min="22" max="22" width="4.109375" style="26" customWidth="1"/>
    <col min="23" max="23" width="16.33203125" bestFit="1" customWidth="1"/>
    <col min="24" max="24" width="16.44140625" bestFit="1" customWidth="1"/>
    <col min="25" max="26" width="4.5546875" bestFit="1" customWidth="1"/>
    <col min="27" max="27" width="11.44140625" bestFit="1" customWidth="1"/>
    <col min="28" max="28" width="8.33203125" bestFit="1" customWidth="1"/>
    <col min="29" max="30" width="4.5546875" bestFit="1" customWidth="1"/>
    <col min="31" max="31" width="11.6640625" bestFit="1" customWidth="1"/>
    <col min="32" max="32" width="8.33203125" bestFit="1" customWidth="1"/>
    <col min="33" max="33" width="4.5546875" bestFit="1" customWidth="1"/>
    <col min="34" max="34" width="4.5546875" style="26" bestFit="1" customWidth="1"/>
    <col min="35" max="35" width="13.44140625" bestFit="1" customWidth="1"/>
    <col min="36" max="36" width="16.33203125" bestFit="1" customWidth="1"/>
    <col min="37" max="38" width="4.5546875" bestFit="1" customWidth="1"/>
    <col min="39" max="39" width="11.44140625" bestFit="1" customWidth="1"/>
    <col min="40" max="40" width="4.5546875" bestFit="1" customWidth="1"/>
    <col min="41" max="41" width="7" bestFit="1" customWidth="1"/>
    <col min="42" max="42" width="11.44140625" bestFit="1" customWidth="1"/>
  </cols>
  <sheetData>
    <row r="1" spans="1:41" s="25" customFormat="1" x14ac:dyDescent="0.3">
      <c r="A1" s="24" t="s">
        <v>32</v>
      </c>
      <c r="I1" s="24" t="s">
        <v>43</v>
      </c>
      <c r="O1" s="24" t="s">
        <v>33</v>
      </c>
      <c r="W1" s="24" t="s">
        <v>36</v>
      </c>
      <c r="AI1" s="24" t="s">
        <v>39</v>
      </c>
    </row>
    <row r="2" spans="1:41" x14ac:dyDescent="0.3">
      <c r="A2" s="6" t="s">
        <v>44</v>
      </c>
      <c r="I2" s="6" t="s">
        <v>45</v>
      </c>
      <c r="O2" s="6" t="s">
        <v>45</v>
      </c>
      <c r="T2" s="28" t="s">
        <v>16</v>
      </c>
      <c r="U2" s="28">
        <v>0.2</v>
      </c>
      <c r="W2" s="27" t="s">
        <v>41</v>
      </c>
      <c r="AI2" t="s">
        <v>40</v>
      </c>
    </row>
    <row r="3" spans="1:41" x14ac:dyDescent="0.3">
      <c r="A3" s="6"/>
      <c r="I3" s="6"/>
      <c r="T3" s="28" t="s">
        <v>15</v>
      </c>
      <c r="U3" s="28">
        <v>0.8</v>
      </c>
    </row>
    <row r="4" spans="1:41" x14ac:dyDescent="0.3">
      <c r="A4" s="6"/>
      <c r="I4" s="6"/>
    </row>
    <row r="5" spans="1:41" x14ac:dyDescent="0.3">
      <c r="A5" s="6"/>
      <c r="I5" s="6"/>
      <c r="O5" s="6"/>
    </row>
    <row r="6" spans="1:41" x14ac:dyDescent="0.3">
      <c r="A6" s="6"/>
      <c r="I6" s="6"/>
    </row>
    <row r="8" spans="1:41" x14ac:dyDescent="0.3">
      <c r="A8" t="s">
        <v>6</v>
      </c>
      <c r="B8" t="s">
        <v>11</v>
      </c>
      <c r="C8" t="s">
        <v>2</v>
      </c>
      <c r="D8" t="s">
        <v>3</v>
      </c>
      <c r="E8" t="s">
        <v>4</v>
      </c>
      <c r="F8" t="s">
        <v>5</v>
      </c>
      <c r="G8" t="s">
        <v>51</v>
      </c>
      <c r="I8" t="s">
        <v>23</v>
      </c>
      <c r="J8" t="s">
        <v>17</v>
      </c>
      <c r="K8" t="s">
        <v>18</v>
      </c>
      <c r="L8" t="s">
        <v>20</v>
      </c>
      <c r="M8" t="s">
        <v>19</v>
      </c>
      <c r="O8" t="s">
        <v>23</v>
      </c>
      <c r="P8" t="s">
        <v>17</v>
      </c>
      <c r="Q8" t="s">
        <v>18</v>
      </c>
      <c r="R8" t="s">
        <v>20</v>
      </c>
      <c r="S8" t="s">
        <v>19</v>
      </c>
      <c r="W8" s="8" t="s">
        <v>6</v>
      </c>
      <c r="X8" s="8" t="s">
        <v>11</v>
      </c>
      <c r="Y8" s="8" t="s">
        <v>2</v>
      </c>
      <c r="Z8" s="8" t="s">
        <v>3</v>
      </c>
      <c r="AA8" s="8" t="s">
        <v>4</v>
      </c>
      <c r="AB8" s="8" t="s">
        <v>35</v>
      </c>
      <c r="AI8" s="20" t="s">
        <v>6</v>
      </c>
      <c r="AJ8" s="21" t="s">
        <v>11</v>
      </c>
      <c r="AK8" s="21" t="s">
        <v>2</v>
      </c>
      <c r="AL8" s="21" t="s">
        <v>3</v>
      </c>
      <c r="AM8" s="21" t="s">
        <v>4</v>
      </c>
      <c r="AN8" s="21" t="s">
        <v>35</v>
      </c>
    </row>
    <row r="9" spans="1:41" x14ac:dyDescent="0.3">
      <c r="A9" t="s">
        <v>55</v>
      </c>
      <c r="B9" t="s">
        <v>12</v>
      </c>
      <c r="C9" t="s">
        <v>1</v>
      </c>
      <c r="D9" t="s">
        <v>47</v>
      </c>
      <c r="E9" t="s">
        <v>7</v>
      </c>
      <c r="G9">
        <v>2.37601</v>
      </c>
      <c r="I9" t="s">
        <v>13</v>
      </c>
      <c r="J9" s="1">
        <f>G29</f>
        <v>2.8605900000000002</v>
      </c>
      <c r="K9" s="1">
        <f>G30</f>
        <v>3.2898299999999998</v>
      </c>
      <c r="L9" s="1">
        <f>G31</f>
        <v>3.2822200000000001</v>
      </c>
      <c r="M9" s="1">
        <f>G32</f>
        <v>3.2486100000000002</v>
      </c>
      <c r="O9" t="s">
        <v>22</v>
      </c>
      <c r="P9" s="2">
        <f>1/(U2+U3/1)</f>
        <v>1</v>
      </c>
      <c r="Q9" s="2">
        <f>1/(U2+U3/2)</f>
        <v>1.6666666666666665</v>
      </c>
      <c r="R9" s="2">
        <f>1/(U2+U3/4)</f>
        <v>2.5</v>
      </c>
      <c r="S9" s="2">
        <f>1/(U2+U3/8)</f>
        <v>3.333333333333333</v>
      </c>
      <c r="W9" s="9" t="s">
        <v>0</v>
      </c>
      <c r="X9" s="9" t="s">
        <v>13</v>
      </c>
      <c r="Y9" s="9" t="s">
        <v>1</v>
      </c>
      <c r="Z9" s="9">
        <v>1</v>
      </c>
      <c r="AA9" s="9" t="s">
        <v>7</v>
      </c>
      <c r="AB9" s="15">
        <f t="shared" ref="AB9:AB20" si="0">G25</f>
        <v>1.8032900000000001</v>
      </c>
      <c r="AI9" s="12" t="s">
        <v>0</v>
      </c>
      <c r="AJ9" s="12" t="s">
        <v>13</v>
      </c>
      <c r="AK9" s="12" t="s">
        <v>1</v>
      </c>
      <c r="AL9" s="12">
        <v>1</v>
      </c>
      <c r="AM9" s="12" t="s">
        <v>7</v>
      </c>
      <c r="AN9" s="22">
        <f t="shared" ref="AN9" si="1">G25</f>
        <v>1.8032900000000001</v>
      </c>
    </row>
    <row r="10" spans="1:41" x14ac:dyDescent="0.3">
      <c r="A10" t="s">
        <v>55</v>
      </c>
      <c r="B10" t="s">
        <v>12</v>
      </c>
      <c r="C10" t="s">
        <v>1</v>
      </c>
      <c r="D10" t="s">
        <v>47</v>
      </c>
      <c r="E10" t="s">
        <v>8</v>
      </c>
      <c r="G10">
        <v>4.0919499999999998</v>
      </c>
      <c r="I10" t="s">
        <v>38</v>
      </c>
      <c r="J10" s="2">
        <f>Table36710620[[#This Row],[Time]]</f>
        <v>4.0919499999999998</v>
      </c>
      <c r="K10" s="2">
        <f>G14</f>
        <v>4.3008600000000001</v>
      </c>
      <c r="L10" s="2">
        <f>G18</f>
        <v>4.0562199999999997</v>
      </c>
      <c r="M10" s="2">
        <f>G22</f>
        <v>4.3159900000000002</v>
      </c>
      <c r="O10" t="s">
        <v>24</v>
      </c>
      <c r="P10" s="2">
        <f>J9/Table711721[[#This Row],[core 1]]</f>
        <v>0.69907745695817403</v>
      </c>
      <c r="Q10" s="2">
        <f>K9/Table711721[[#This Row],[core 2]]</f>
        <v>0.76492375943415958</v>
      </c>
      <c r="R10" s="2">
        <f>L9/Table711721[[#This Row],[core 4]]</f>
        <v>0.80918194772472907</v>
      </c>
      <c r="S10" s="2">
        <f>M9/Table711721[[#This Row],[core 8]]</f>
        <v>0.75269173468891259</v>
      </c>
      <c r="W10" s="9" t="s">
        <v>0</v>
      </c>
      <c r="X10" s="9" t="s">
        <v>13</v>
      </c>
      <c r="Y10" s="9" t="s">
        <v>1</v>
      </c>
      <c r="Z10" s="9">
        <v>2</v>
      </c>
      <c r="AA10" s="9" t="s">
        <v>7</v>
      </c>
      <c r="AB10" s="15">
        <f t="shared" si="0"/>
        <v>2.1642100000000002</v>
      </c>
      <c r="AI10" s="12" t="s">
        <v>0</v>
      </c>
      <c r="AJ10" s="12" t="s">
        <v>13</v>
      </c>
      <c r="AK10" s="12" t="s">
        <v>1</v>
      </c>
      <c r="AL10" s="12">
        <v>1</v>
      </c>
      <c r="AM10" s="12" t="s">
        <v>8</v>
      </c>
      <c r="AN10" s="22">
        <f>G29</f>
        <v>2.8605900000000002</v>
      </c>
    </row>
    <row r="11" spans="1:41" x14ac:dyDescent="0.3">
      <c r="A11" t="s">
        <v>55</v>
      </c>
      <c r="B11" t="s">
        <v>12</v>
      </c>
      <c r="C11" t="s">
        <v>1</v>
      </c>
      <c r="D11" t="s">
        <v>47</v>
      </c>
      <c r="E11" t="s">
        <v>9</v>
      </c>
      <c r="G11">
        <v>6.9893099999999997</v>
      </c>
      <c r="W11" s="9" t="s">
        <v>0</v>
      </c>
      <c r="X11" s="9" t="s">
        <v>13</v>
      </c>
      <c r="Y11" s="9" t="s">
        <v>1</v>
      </c>
      <c r="Z11" s="9">
        <v>4</v>
      </c>
      <c r="AA11" s="9" t="s">
        <v>7</v>
      </c>
      <c r="AB11" s="15">
        <f t="shared" si="0"/>
        <v>2.0835300000000001</v>
      </c>
      <c r="AI11" s="16" t="s">
        <v>0</v>
      </c>
      <c r="AJ11" s="16" t="s">
        <v>13</v>
      </c>
      <c r="AK11" s="16" t="s">
        <v>1</v>
      </c>
      <c r="AL11" s="16">
        <v>1</v>
      </c>
      <c r="AM11" s="16" t="s">
        <v>9</v>
      </c>
      <c r="AN11" s="23">
        <f>G33</f>
        <v>5.0929599999999997</v>
      </c>
    </row>
    <row r="12" spans="1:41" x14ac:dyDescent="0.3">
      <c r="A12" t="s">
        <v>55</v>
      </c>
      <c r="B12" s="30" t="s">
        <v>12</v>
      </c>
      <c r="C12" s="30" t="s">
        <v>1</v>
      </c>
      <c r="D12" s="30" t="s">
        <v>47</v>
      </c>
      <c r="E12" s="30" t="s">
        <v>10</v>
      </c>
      <c r="F12" s="30"/>
      <c r="G12" s="30"/>
      <c r="J12" s="2"/>
      <c r="K12" s="2"/>
      <c r="L12" s="2"/>
      <c r="M12" s="2"/>
      <c r="W12" s="9" t="s">
        <v>0</v>
      </c>
      <c r="X12" s="9" t="s">
        <v>13</v>
      </c>
      <c r="Y12" s="9" t="s">
        <v>1</v>
      </c>
      <c r="Z12" s="9">
        <v>8</v>
      </c>
      <c r="AA12" s="9" t="s">
        <v>7</v>
      </c>
      <c r="AB12" s="15">
        <f t="shared" si="0"/>
        <v>2.1905600000000001</v>
      </c>
    </row>
    <row r="13" spans="1:41" x14ac:dyDescent="0.3">
      <c r="A13" t="s">
        <v>55</v>
      </c>
      <c r="B13" t="s">
        <v>12</v>
      </c>
      <c r="C13" t="s">
        <v>1</v>
      </c>
      <c r="D13" t="s">
        <v>48</v>
      </c>
      <c r="E13" t="s">
        <v>7</v>
      </c>
      <c r="G13">
        <v>2.7340900000000001</v>
      </c>
      <c r="O13" s="6" t="s">
        <v>34</v>
      </c>
      <c r="W13" s="9" t="s">
        <v>0</v>
      </c>
      <c r="X13" s="9" t="s">
        <v>13</v>
      </c>
      <c r="Y13" s="9" t="s">
        <v>1</v>
      </c>
      <c r="Z13" s="9">
        <v>1</v>
      </c>
      <c r="AA13" s="9" t="s">
        <v>8</v>
      </c>
      <c r="AB13" s="15">
        <f t="shared" si="0"/>
        <v>2.8605900000000002</v>
      </c>
    </row>
    <row r="14" spans="1:41" x14ac:dyDescent="0.3">
      <c r="A14" t="s">
        <v>55</v>
      </c>
      <c r="B14" t="s">
        <v>12</v>
      </c>
      <c r="C14" t="s">
        <v>1</v>
      </c>
      <c r="D14" t="s">
        <v>48</v>
      </c>
      <c r="E14" t="s">
        <v>8</v>
      </c>
      <c r="G14">
        <v>4.3008600000000001</v>
      </c>
      <c r="O14" t="s">
        <v>21</v>
      </c>
      <c r="P14" t="s">
        <v>51</v>
      </c>
      <c r="Q14" t="s">
        <v>52</v>
      </c>
      <c r="R14" t="s">
        <v>53</v>
      </c>
      <c r="W14" s="9" t="s">
        <v>0</v>
      </c>
      <c r="X14" s="9" t="s">
        <v>13</v>
      </c>
      <c r="Y14" s="9" t="s">
        <v>1</v>
      </c>
      <c r="Z14" s="9">
        <v>2</v>
      </c>
      <c r="AA14" s="9" t="s">
        <v>8</v>
      </c>
      <c r="AB14" s="15">
        <f t="shared" si="0"/>
        <v>3.2898299999999998</v>
      </c>
      <c r="AI14" s="11" t="s">
        <v>6</v>
      </c>
      <c r="AJ14" s="11" t="s">
        <v>11</v>
      </c>
      <c r="AK14" s="11" t="s">
        <v>2</v>
      </c>
      <c r="AL14" s="11" t="s">
        <v>3</v>
      </c>
      <c r="AM14" s="11" t="s">
        <v>4</v>
      </c>
      <c r="AN14" s="11" t="s">
        <v>35</v>
      </c>
      <c r="AO14" s="11" t="s">
        <v>42</v>
      </c>
    </row>
    <row r="15" spans="1:41" x14ac:dyDescent="0.3">
      <c r="A15" t="s">
        <v>55</v>
      </c>
      <c r="B15" t="s">
        <v>12</v>
      </c>
      <c r="C15" t="s">
        <v>1</v>
      </c>
      <c r="D15" t="s">
        <v>48</v>
      </c>
      <c r="E15" t="s">
        <v>9</v>
      </c>
      <c r="G15">
        <v>7.4930700000000003</v>
      </c>
      <c r="O15" t="s">
        <v>30</v>
      </c>
      <c r="P15" s="2">
        <f>P9</f>
        <v>1</v>
      </c>
      <c r="Q15" t="s">
        <v>17</v>
      </c>
      <c r="R15" t="s">
        <v>8</v>
      </c>
      <c r="W15" s="9" t="s">
        <v>0</v>
      </c>
      <c r="X15" s="9" t="s">
        <v>13</v>
      </c>
      <c r="Y15" s="9" t="s">
        <v>1</v>
      </c>
      <c r="Z15" s="9">
        <v>4</v>
      </c>
      <c r="AA15" s="9" t="s">
        <v>8</v>
      </c>
      <c r="AB15" s="15">
        <f t="shared" si="0"/>
        <v>3.2822200000000001</v>
      </c>
      <c r="AI15" s="12" t="s">
        <v>0</v>
      </c>
      <c r="AJ15" s="12" t="s">
        <v>12</v>
      </c>
      <c r="AK15" s="12" t="s">
        <v>1</v>
      </c>
      <c r="AL15" s="12" t="s">
        <v>48</v>
      </c>
      <c r="AM15" s="12" t="s">
        <v>7</v>
      </c>
      <c r="AN15" s="13">
        <f t="shared" ref="AN15:AN17" si="2">G21</f>
        <v>2.8555100000000002</v>
      </c>
      <c r="AO15" s="14">
        <f>AN9/Table1321625[[#This Row],[Ex time]]</f>
        <v>0.63151240934193886</v>
      </c>
    </row>
    <row r="16" spans="1:41" x14ac:dyDescent="0.3">
      <c r="A16" t="s">
        <v>55</v>
      </c>
      <c r="B16" s="30" t="s">
        <v>12</v>
      </c>
      <c r="C16" s="30" t="s">
        <v>1</v>
      </c>
      <c r="D16" s="30" t="s">
        <v>48</v>
      </c>
      <c r="E16" s="30" t="s">
        <v>10</v>
      </c>
      <c r="F16" s="30"/>
      <c r="G16" s="30"/>
      <c r="O16" t="s">
        <v>30</v>
      </c>
      <c r="P16" s="2">
        <f>Q9</f>
        <v>1.6666666666666665</v>
      </c>
      <c r="Q16" t="s">
        <v>18</v>
      </c>
      <c r="R16" t="s">
        <v>8</v>
      </c>
      <c r="W16" s="9" t="s">
        <v>0</v>
      </c>
      <c r="X16" s="9" t="s">
        <v>13</v>
      </c>
      <c r="Y16" s="9" t="s">
        <v>1</v>
      </c>
      <c r="Z16" s="9">
        <v>8</v>
      </c>
      <c r="AA16" s="9" t="s">
        <v>8</v>
      </c>
      <c r="AB16" s="15">
        <f t="shared" si="0"/>
        <v>3.2486100000000002</v>
      </c>
      <c r="AI16" s="12" t="s">
        <v>0</v>
      </c>
      <c r="AJ16" s="12" t="s">
        <v>12</v>
      </c>
      <c r="AK16" s="12" t="s">
        <v>1</v>
      </c>
      <c r="AL16" s="12" t="s">
        <v>49</v>
      </c>
      <c r="AM16" s="12" t="s">
        <v>8</v>
      </c>
      <c r="AN16" s="18">
        <f t="shared" si="2"/>
        <v>4.3159900000000002</v>
      </c>
      <c r="AO16" s="13">
        <f>AN10/Table1321625[[#This Row],[Ex time]]</f>
        <v>0.66278883871371341</v>
      </c>
    </row>
    <row r="17" spans="1:41" x14ac:dyDescent="0.3">
      <c r="A17" t="s">
        <v>55</v>
      </c>
      <c r="B17" t="s">
        <v>12</v>
      </c>
      <c r="C17" t="s">
        <v>1</v>
      </c>
      <c r="D17" t="s">
        <v>49</v>
      </c>
      <c r="E17" t="s">
        <v>7</v>
      </c>
      <c r="G17">
        <v>2.5322399999999998</v>
      </c>
      <c r="O17" t="s">
        <v>30</v>
      </c>
      <c r="P17" s="2">
        <f>R9</f>
        <v>2.5</v>
      </c>
      <c r="Q17" t="s">
        <v>20</v>
      </c>
      <c r="R17" t="s">
        <v>8</v>
      </c>
      <c r="W17" s="9" t="s">
        <v>0</v>
      </c>
      <c r="X17" s="9" t="s">
        <v>13</v>
      </c>
      <c r="Y17" s="9" t="s">
        <v>1</v>
      </c>
      <c r="Z17" s="9">
        <v>1</v>
      </c>
      <c r="AA17" s="9" t="s">
        <v>9</v>
      </c>
      <c r="AB17" s="15">
        <f t="shared" si="0"/>
        <v>5.0929599999999997</v>
      </c>
      <c r="AI17" s="16" t="s">
        <v>0</v>
      </c>
      <c r="AJ17" s="16" t="s">
        <v>12</v>
      </c>
      <c r="AK17" s="16" t="s">
        <v>1</v>
      </c>
      <c r="AL17" s="16" t="s">
        <v>50</v>
      </c>
      <c r="AM17" s="16" t="s">
        <v>9</v>
      </c>
      <c r="AN17" s="17">
        <f t="shared" si="2"/>
        <v>7.0689399999999996</v>
      </c>
      <c r="AO17" s="13">
        <f>AN11/Table1321625[[#This Row],[Ex time]]</f>
        <v>0.7204701129165052</v>
      </c>
    </row>
    <row r="18" spans="1:41" x14ac:dyDescent="0.3">
      <c r="A18" t="s">
        <v>55</v>
      </c>
      <c r="B18" t="s">
        <v>12</v>
      </c>
      <c r="C18" t="s">
        <v>1</v>
      </c>
      <c r="D18" t="s">
        <v>49</v>
      </c>
      <c r="E18" t="s">
        <v>8</v>
      </c>
      <c r="G18">
        <v>4.0562199999999997</v>
      </c>
      <c r="O18" t="s">
        <v>30</v>
      </c>
      <c r="P18" s="2">
        <f>S9</f>
        <v>3.333333333333333</v>
      </c>
      <c r="Q18" t="s">
        <v>19</v>
      </c>
      <c r="R18" t="s">
        <v>8</v>
      </c>
      <c r="W18" s="9" t="s">
        <v>0</v>
      </c>
      <c r="X18" s="9" t="s">
        <v>13</v>
      </c>
      <c r="Y18" s="9" t="s">
        <v>1</v>
      </c>
      <c r="Z18" s="9">
        <v>2</v>
      </c>
      <c r="AA18" s="9" t="s">
        <v>9</v>
      </c>
      <c r="AB18" s="15">
        <f t="shared" si="0"/>
        <v>5.28078</v>
      </c>
    </row>
    <row r="19" spans="1:41" x14ac:dyDescent="0.3">
      <c r="A19" t="s">
        <v>55</v>
      </c>
      <c r="B19" t="s">
        <v>12</v>
      </c>
      <c r="C19" t="s">
        <v>1</v>
      </c>
      <c r="D19" t="s">
        <v>49</v>
      </c>
      <c r="E19" t="s">
        <v>9</v>
      </c>
      <c r="G19">
        <v>7.0985300000000002</v>
      </c>
      <c r="O19" t="s">
        <v>24</v>
      </c>
      <c r="P19" s="2">
        <f>P10</f>
        <v>0.69907745695817403</v>
      </c>
      <c r="Q19" t="s">
        <v>17</v>
      </c>
      <c r="R19" t="s">
        <v>8</v>
      </c>
      <c r="W19" s="9" t="s">
        <v>0</v>
      </c>
      <c r="X19" s="9" t="s">
        <v>13</v>
      </c>
      <c r="Y19" s="9" t="s">
        <v>1</v>
      </c>
      <c r="Z19" s="9">
        <v>4</v>
      </c>
      <c r="AA19" s="9" t="s">
        <v>9</v>
      </c>
      <c r="AB19" s="15">
        <f t="shared" si="0"/>
        <v>5.11111</v>
      </c>
    </row>
    <row r="20" spans="1:41" x14ac:dyDescent="0.3">
      <c r="A20" t="s">
        <v>55</v>
      </c>
      <c r="B20" s="30" t="s">
        <v>12</v>
      </c>
      <c r="C20" s="30" t="s">
        <v>1</v>
      </c>
      <c r="D20" s="30" t="s">
        <v>49</v>
      </c>
      <c r="E20" s="30" t="s">
        <v>10</v>
      </c>
      <c r="F20" s="30"/>
      <c r="G20" s="30"/>
      <c r="O20" t="s">
        <v>24</v>
      </c>
      <c r="P20" s="2">
        <f>Q10</f>
        <v>0.76492375943415958</v>
      </c>
      <c r="Q20" t="s">
        <v>18</v>
      </c>
      <c r="R20" t="s">
        <v>8</v>
      </c>
      <c r="W20" s="9" t="s">
        <v>0</v>
      </c>
      <c r="X20" s="9" t="s">
        <v>13</v>
      </c>
      <c r="Y20" s="9" t="s">
        <v>1</v>
      </c>
      <c r="Z20" s="9">
        <v>8</v>
      </c>
      <c r="AA20" s="9" t="s">
        <v>9</v>
      </c>
      <c r="AB20" s="15">
        <f t="shared" si="0"/>
        <v>5.3014000000000001</v>
      </c>
      <c r="AI20" s="4" t="s">
        <v>25</v>
      </c>
      <c r="AJ20" t="s">
        <v>46</v>
      </c>
    </row>
    <row r="21" spans="1:41" x14ac:dyDescent="0.3">
      <c r="A21" t="s">
        <v>55</v>
      </c>
      <c r="B21" t="s">
        <v>12</v>
      </c>
      <c r="C21" t="s">
        <v>1</v>
      </c>
      <c r="D21" t="s">
        <v>50</v>
      </c>
      <c r="E21" t="s">
        <v>7</v>
      </c>
      <c r="G21">
        <v>2.8555100000000002</v>
      </c>
      <c r="O21" t="s">
        <v>24</v>
      </c>
      <c r="P21" s="2">
        <f>R10</f>
        <v>0.80918194772472907</v>
      </c>
      <c r="Q21" t="s">
        <v>20</v>
      </c>
      <c r="R21" t="s">
        <v>8</v>
      </c>
      <c r="AI21" s="5" t="s">
        <v>48</v>
      </c>
      <c r="AJ21" s="2">
        <v>0.63151240934193886</v>
      </c>
    </row>
    <row r="22" spans="1:41" x14ac:dyDescent="0.3">
      <c r="A22" t="s">
        <v>55</v>
      </c>
      <c r="B22" t="s">
        <v>12</v>
      </c>
      <c r="C22" t="s">
        <v>1</v>
      </c>
      <c r="D22" t="s">
        <v>50</v>
      </c>
      <c r="E22" t="s">
        <v>8</v>
      </c>
      <c r="G22">
        <v>4.3159900000000002</v>
      </c>
      <c r="L22" s="2"/>
      <c r="M22" s="3"/>
      <c r="O22" t="s">
        <v>24</v>
      </c>
      <c r="P22" s="2">
        <f>S10</f>
        <v>0.75269173468891259</v>
      </c>
      <c r="Q22" t="s">
        <v>19</v>
      </c>
      <c r="R22" t="s">
        <v>8</v>
      </c>
      <c r="W22" s="11" t="s">
        <v>6</v>
      </c>
      <c r="X22" s="11" t="s">
        <v>11</v>
      </c>
      <c r="Y22" s="11" t="s">
        <v>2</v>
      </c>
      <c r="Z22" s="11" t="s">
        <v>3</v>
      </c>
      <c r="AA22" s="11" t="s">
        <v>4</v>
      </c>
      <c r="AB22" s="11" t="s">
        <v>35</v>
      </c>
      <c r="AC22" s="11" t="s">
        <v>21</v>
      </c>
      <c r="AD22" s="8"/>
      <c r="AE22" s="8"/>
      <c r="AI22" s="29" t="s">
        <v>7</v>
      </c>
      <c r="AJ22" s="2">
        <v>0.63151240934193886</v>
      </c>
    </row>
    <row r="23" spans="1:41" x14ac:dyDescent="0.3">
      <c r="A23" t="s">
        <v>55</v>
      </c>
      <c r="B23" t="s">
        <v>12</v>
      </c>
      <c r="C23" t="s">
        <v>1</v>
      </c>
      <c r="D23" t="s">
        <v>50</v>
      </c>
      <c r="E23" t="s">
        <v>9</v>
      </c>
      <c r="G23">
        <v>7.0689399999999996</v>
      </c>
      <c r="L23" s="2"/>
      <c r="M23" s="2"/>
      <c r="W23" s="12" t="s">
        <v>0</v>
      </c>
      <c r="X23" s="12" t="s">
        <v>12</v>
      </c>
      <c r="Y23" s="12" t="s">
        <v>1</v>
      </c>
      <c r="Z23" s="12" t="s">
        <v>47</v>
      </c>
      <c r="AA23" s="12" t="s">
        <v>7</v>
      </c>
      <c r="AB23" s="13">
        <f t="shared" ref="AB23" si="3">G9</f>
        <v>2.37601</v>
      </c>
      <c r="AC23" s="14">
        <f>AB9/Table131524[[#This Row],[Ex time]]</f>
        <v>0.75895724344594517</v>
      </c>
      <c r="AD23" s="15"/>
      <c r="AE23" s="15"/>
      <c r="AI23" s="5" t="s">
        <v>49</v>
      </c>
      <c r="AJ23" s="2">
        <v>0.66278883871371341</v>
      </c>
    </row>
    <row r="24" spans="1:41" x14ac:dyDescent="0.3">
      <c r="A24" t="s">
        <v>55</v>
      </c>
      <c r="B24" s="30" t="s">
        <v>12</v>
      </c>
      <c r="C24" s="30" t="s">
        <v>1</v>
      </c>
      <c r="D24" s="30" t="s">
        <v>50</v>
      </c>
      <c r="E24" s="30" t="s">
        <v>10</v>
      </c>
      <c r="F24" s="30"/>
      <c r="G24" s="30"/>
      <c r="W24" s="12" t="s">
        <v>0</v>
      </c>
      <c r="X24" s="12" t="s">
        <v>12</v>
      </c>
      <c r="Y24" s="12" t="s">
        <v>1</v>
      </c>
      <c r="Z24" s="12" t="s">
        <v>48</v>
      </c>
      <c r="AA24" s="12" t="s">
        <v>7</v>
      </c>
      <c r="AB24" s="13">
        <f>G13</f>
        <v>2.7340900000000001</v>
      </c>
      <c r="AC24" s="14">
        <f>AB9/Table131524[[#This Row],[Ex time]]</f>
        <v>0.65955765903829056</v>
      </c>
      <c r="AD24" s="15"/>
      <c r="AE24" s="15"/>
      <c r="AI24" s="29" t="s">
        <v>8</v>
      </c>
      <c r="AJ24" s="2">
        <v>0.66278883871371341</v>
      </c>
    </row>
    <row r="25" spans="1:41" x14ac:dyDescent="0.3">
      <c r="A25" t="s">
        <v>55</v>
      </c>
      <c r="B25" t="s">
        <v>13</v>
      </c>
      <c r="C25" t="s">
        <v>1</v>
      </c>
      <c r="D25" t="s">
        <v>47</v>
      </c>
      <c r="E25" t="s">
        <v>7</v>
      </c>
      <c r="G25">
        <v>1.8032900000000001</v>
      </c>
      <c r="O25" s="4" t="s">
        <v>54</v>
      </c>
      <c r="P25" s="4" t="s">
        <v>27</v>
      </c>
      <c r="W25" s="12" t="s">
        <v>0</v>
      </c>
      <c r="X25" s="12" t="s">
        <v>12</v>
      </c>
      <c r="Y25" s="12" t="s">
        <v>1</v>
      </c>
      <c r="Z25" s="12" t="s">
        <v>49</v>
      </c>
      <c r="AA25" s="12" t="s">
        <v>7</v>
      </c>
      <c r="AB25" s="15">
        <f>G17</f>
        <v>2.5322399999999998</v>
      </c>
      <c r="AC25" s="13">
        <f>AB9/Table131524[[#This Row],[Ex time]]</f>
        <v>0.71213234132625669</v>
      </c>
      <c r="AD25" s="15"/>
      <c r="AE25" s="15"/>
      <c r="AI25" s="5" t="s">
        <v>50</v>
      </c>
      <c r="AJ25" s="2">
        <v>0.7204701129165052</v>
      </c>
    </row>
    <row r="26" spans="1:41" x14ac:dyDescent="0.3">
      <c r="A26" t="s">
        <v>55</v>
      </c>
      <c r="B26" t="s">
        <v>13</v>
      </c>
      <c r="C26" t="s">
        <v>1</v>
      </c>
      <c r="D26" t="s">
        <v>48</v>
      </c>
      <c r="E26" t="s">
        <v>7</v>
      </c>
      <c r="G26">
        <v>2.1642100000000002</v>
      </c>
      <c r="O26" s="4" t="s">
        <v>25</v>
      </c>
      <c r="P26" t="s">
        <v>24</v>
      </c>
      <c r="Q26" t="s">
        <v>30</v>
      </c>
      <c r="R26" t="s">
        <v>26</v>
      </c>
      <c r="W26" s="16" t="s">
        <v>0</v>
      </c>
      <c r="X26" s="16" t="s">
        <v>12</v>
      </c>
      <c r="Y26" s="16" t="s">
        <v>1</v>
      </c>
      <c r="Z26" s="16" t="s">
        <v>50</v>
      </c>
      <c r="AA26" s="12" t="s">
        <v>7</v>
      </c>
      <c r="AB26" s="17">
        <f>G21</f>
        <v>2.8555100000000002</v>
      </c>
      <c r="AC26" s="17">
        <f>AB9/Table131524[[#This Row],[Ex time]]</f>
        <v>0.63151240934193886</v>
      </c>
      <c r="AD26" s="15"/>
      <c r="AE26" s="15"/>
      <c r="AI26" s="29" t="s">
        <v>9</v>
      </c>
      <c r="AJ26" s="2">
        <v>0.7204701129165052</v>
      </c>
    </row>
    <row r="27" spans="1:41" x14ac:dyDescent="0.3">
      <c r="A27" t="s">
        <v>55</v>
      </c>
      <c r="B27" t="s">
        <v>13</v>
      </c>
      <c r="C27" t="s">
        <v>1</v>
      </c>
      <c r="D27" t="s">
        <v>49</v>
      </c>
      <c r="E27" t="s">
        <v>7</v>
      </c>
      <c r="G27">
        <v>2.0835300000000001</v>
      </c>
      <c r="O27" s="5" t="s">
        <v>17</v>
      </c>
      <c r="P27" s="2">
        <v>0.69907745695817403</v>
      </c>
      <c r="Q27" s="2">
        <v>1</v>
      </c>
      <c r="R27" s="2">
        <v>1.6990774569581739</v>
      </c>
      <c r="W27" s="12" t="s">
        <v>0</v>
      </c>
      <c r="X27" s="12" t="s">
        <v>12</v>
      </c>
      <c r="Y27" s="12" t="s">
        <v>1</v>
      </c>
      <c r="Z27" s="12" t="s">
        <v>47</v>
      </c>
      <c r="AA27" s="12" t="s">
        <v>8</v>
      </c>
      <c r="AB27" s="18">
        <f>G10</f>
        <v>4.0919499999999998</v>
      </c>
      <c r="AC27" s="13">
        <f>AB24/Table131524[[#This Row],[Ex time]]</f>
        <v>0.66816310072214968</v>
      </c>
      <c r="AD27" s="15"/>
      <c r="AE27" s="15"/>
      <c r="AI27" s="5" t="s">
        <v>26</v>
      </c>
      <c r="AJ27" s="2">
        <v>2.0147713609721576</v>
      </c>
    </row>
    <row r="28" spans="1:41" x14ac:dyDescent="0.3">
      <c r="A28" t="s">
        <v>55</v>
      </c>
      <c r="B28" t="s">
        <v>13</v>
      </c>
      <c r="C28" t="s">
        <v>1</v>
      </c>
      <c r="D28" t="s">
        <v>50</v>
      </c>
      <c r="E28" t="s">
        <v>7</v>
      </c>
      <c r="G28">
        <v>2.1905600000000001</v>
      </c>
      <c r="O28" s="5" t="s">
        <v>18</v>
      </c>
      <c r="P28" s="2">
        <v>0.76492375943415958</v>
      </c>
      <c r="Q28" s="2">
        <v>1.6666666666666665</v>
      </c>
      <c r="R28" s="2">
        <v>2.4315904261008261</v>
      </c>
      <c r="W28" s="12" t="s">
        <v>0</v>
      </c>
      <c r="X28" s="12" t="s">
        <v>12</v>
      </c>
      <c r="Y28" s="12" t="s">
        <v>1</v>
      </c>
      <c r="Z28" s="12" t="s">
        <v>48</v>
      </c>
      <c r="AA28" s="12" t="s">
        <v>8</v>
      </c>
      <c r="AB28" s="18">
        <f>G14</f>
        <v>4.3008600000000001</v>
      </c>
      <c r="AC28" s="13">
        <f>AB24/Table131524[[#This Row],[Ex time]]</f>
        <v>0.6357077421724957</v>
      </c>
      <c r="AD28" s="15"/>
      <c r="AE28" s="15"/>
    </row>
    <row r="29" spans="1:41" x14ac:dyDescent="0.3">
      <c r="A29" t="s">
        <v>55</v>
      </c>
      <c r="B29" t="s">
        <v>13</v>
      </c>
      <c r="C29" t="s">
        <v>1</v>
      </c>
      <c r="D29" t="s">
        <v>47</v>
      </c>
      <c r="E29" t="s">
        <v>8</v>
      </c>
      <c r="G29">
        <v>2.8605900000000002</v>
      </c>
      <c r="O29" s="5" t="s">
        <v>20</v>
      </c>
      <c r="P29" s="2">
        <v>0.80918194772472907</v>
      </c>
      <c r="Q29" s="2">
        <v>2.5</v>
      </c>
      <c r="R29" s="2">
        <v>3.3091819477247291</v>
      </c>
      <c r="W29" s="12" t="s">
        <v>0</v>
      </c>
      <c r="X29" s="12" t="s">
        <v>12</v>
      </c>
      <c r="Y29" s="12" t="s">
        <v>1</v>
      </c>
      <c r="Z29" s="12" t="s">
        <v>49</v>
      </c>
      <c r="AA29" s="12" t="s">
        <v>8</v>
      </c>
      <c r="AB29" s="18">
        <f>G18</f>
        <v>4.0562199999999997</v>
      </c>
      <c r="AC29" s="13">
        <f>AB24/Table131524[[#This Row],[Ex time]]</f>
        <v>0.67404874489056321</v>
      </c>
      <c r="AD29" s="15"/>
      <c r="AE29" s="15"/>
    </row>
    <row r="30" spans="1:41" x14ac:dyDescent="0.3">
      <c r="A30" t="s">
        <v>55</v>
      </c>
      <c r="B30" t="s">
        <v>13</v>
      </c>
      <c r="C30" t="s">
        <v>1</v>
      </c>
      <c r="D30" t="s">
        <v>48</v>
      </c>
      <c r="E30" t="s">
        <v>8</v>
      </c>
      <c r="G30">
        <v>3.2898299999999998</v>
      </c>
      <c r="O30" s="5" t="s">
        <v>19</v>
      </c>
      <c r="P30" s="2">
        <v>0.75269173468891259</v>
      </c>
      <c r="Q30" s="2">
        <v>3.333333333333333</v>
      </c>
      <c r="R30" s="2">
        <v>4.0860250680222459</v>
      </c>
      <c r="W30" s="16" t="s">
        <v>0</v>
      </c>
      <c r="X30" s="16" t="s">
        <v>12</v>
      </c>
      <c r="Y30" s="16" t="s">
        <v>1</v>
      </c>
      <c r="Z30" s="16" t="s">
        <v>50</v>
      </c>
      <c r="AA30" s="16" t="s">
        <v>8</v>
      </c>
      <c r="AB30" s="19">
        <f>G22</f>
        <v>4.3159900000000002</v>
      </c>
      <c r="AC30" s="13">
        <f>AB24/Table131524[[#This Row],[Ex time]]</f>
        <v>0.63347922492869535</v>
      </c>
      <c r="AD30" s="15"/>
      <c r="AE30" s="15"/>
    </row>
    <row r="31" spans="1:41" x14ac:dyDescent="0.3">
      <c r="A31" t="s">
        <v>55</v>
      </c>
      <c r="B31" t="s">
        <v>13</v>
      </c>
      <c r="C31" t="s">
        <v>1</v>
      </c>
      <c r="D31" t="s">
        <v>49</v>
      </c>
      <c r="E31" t="s">
        <v>8</v>
      </c>
      <c r="G31">
        <v>3.2822200000000001</v>
      </c>
      <c r="O31" s="5" t="s">
        <v>26</v>
      </c>
      <c r="P31" s="2">
        <v>3.0258748988059754</v>
      </c>
      <c r="Q31" s="2">
        <v>8.5</v>
      </c>
      <c r="R31" s="2">
        <v>11.525874898805974</v>
      </c>
      <c r="W31" s="12" t="s">
        <v>0</v>
      </c>
      <c r="X31" s="12" t="s">
        <v>12</v>
      </c>
      <c r="Y31" s="12" t="s">
        <v>1</v>
      </c>
      <c r="Z31" s="12" t="s">
        <v>47</v>
      </c>
      <c r="AA31" s="12" t="s">
        <v>9</v>
      </c>
      <c r="AB31" s="13">
        <f>G11</f>
        <v>6.9893099999999997</v>
      </c>
      <c r="AC31" s="13">
        <f>AB9/Table131524[[#This Row],[Ex time]]</f>
        <v>0.25800687049222315</v>
      </c>
      <c r="AD31" s="15"/>
      <c r="AE31" s="15"/>
    </row>
    <row r="32" spans="1:41" x14ac:dyDescent="0.3">
      <c r="A32" t="s">
        <v>55</v>
      </c>
      <c r="B32" t="s">
        <v>13</v>
      </c>
      <c r="C32" t="s">
        <v>1</v>
      </c>
      <c r="D32" t="s">
        <v>50</v>
      </c>
      <c r="E32" t="s">
        <v>8</v>
      </c>
      <c r="G32">
        <v>3.2486100000000002</v>
      </c>
      <c r="W32" s="12" t="s">
        <v>0</v>
      </c>
      <c r="X32" s="12" t="s">
        <v>12</v>
      </c>
      <c r="Y32" s="12" t="s">
        <v>1</v>
      </c>
      <c r="Z32" s="12" t="s">
        <v>48</v>
      </c>
      <c r="AA32" s="12" t="s">
        <v>9</v>
      </c>
      <c r="AB32" s="13">
        <f>G15</f>
        <v>7.4930700000000003</v>
      </c>
      <c r="AC32" s="13">
        <f>AB9/Table131524[[#This Row],[Ex time]]</f>
        <v>0.24066103746528458</v>
      </c>
      <c r="AD32" s="15"/>
      <c r="AE32" s="15"/>
    </row>
    <row r="33" spans="1:31" x14ac:dyDescent="0.3">
      <c r="A33" t="s">
        <v>55</v>
      </c>
      <c r="B33" s="9" t="s">
        <v>13</v>
      </c>
      <c r="C33" s="9" t="s">
        <v>1</v>
      </c>
      <c r="D33" t="s">
        <v>47</v>
      </c>
      <c r="E33" s="9" t="s">
        <v>9</v>
      </c>
      <c r="G33">
        <v>5.0929599999999997</v>
      </c>
      <c r="W33" s="12" t="s">
        <v>0</v>
      </c>
      <c r="X33" s="12" t="s">
        <v>12</v>
      </c>
      <c r="Y33" s="12" t="s">
        <v>1</v>
      </c>
      <c r="Z33" s="12" t="s">
        <v>49</v>
      </c>
      <c r="AA33" s="12" t="s">
        <v>9</v>
      </c>
      <c r="AB33" s="13">
        <f>G19</f>
        <v>7.0985300000000002</v>
      </c>
      <c r="AC33" s="13">
        <f>AB9/Table131524[[#This Row],[Ex time]]</f>
        <v>0.25403710345663116</v>
      </c>
      <c r="AD33" s="15"/>
      <c r="AE33" s="15"/>
    </row>
    <row r="34" spans="1:31" x14ac:dyDescent="0.3">
      <c r="A34" t="s">
        <v>55</v>
      </c>
      <c r="B34" s="9" t="s">
        <v>13</v>
      </c>
      <c r="C34" s="9" t="s">
        <v>1</v>
      </c>
      <c r="D34" t="s">
        <v>48</v>
      </c>
      <c r="E34" s="9" t="s">
        <v>9</v>
      </c>
      <c r="G34">
        <v>5.28078</v>
      </c>
      <c r="W34" s="16" t="s">
        <v>0</v>
      </c>
      <c r="X34" s="16" t="s">
        <v>12</v>
      </c>
      <c r="Y34" s="16" t="s">
        <v>1</v>
      </c>
      <c r="Z34" s="16" t="s">
        <v>50</v>
      </c>
      <c r="AA34" s="16" t="s">
        <v>9</v>
      </c>
      <c r="AB34" s="17">
        <f>G23</f>
        <v>7.0689399999999996</v>
      </c>
      <c r="AC34" s="13">
        <f>AB9/Table131524[[#This Row],[Ex time]]</f>
        <v>0.25510048182612954</v>
      </c>
      <c r="AD34" s="15"/>
      <c r="AE34" s="15"/>
    </row>
    <row r="35" spans="1:31" x14ac:dyDescent="0.3">
      <c r="A35" t="s">
        <v>55</v>
      </c>
      <c r="B35" s="9" t="s">
        <v>13</v>
      </c>
      <c r="C35" s="9" t="s">
        <v>1</v>
      </c>
      <c r="D35" t="s">
        <v>49</v>
      </c>
      <c r="E35" s="9" t="s">
        <v>9</v>
      </c>
      <c r="G35">
        <v>5.11111</v>
      </c>
    </row>
    <row r="36" spans="1:31" x14ac:dyDescent="0.3">
      <c r="A36" t="s">
        <v>55</v>
      </c>
      <c r="B36" s="9" t="s">
        <v>13</v>
      </c>
      <c r="C36" s="9" t="s">
        <v>1</v>
      </c>
      <c r="D36" t="s">
        <v>50</v>
      </c>
      <c r="E36" s="9" t="s">
        <v>9</v>
      </c>
      <c r="G36">
        <v>5.3014000000000001</v>
      </c>
    </row>
    <row r="37" spans="1:31" x14ac:dyDescent="0.3">
      <c r="W37" s="4" t="s">
        <v>37</v>
      </c>
      <c r="X37" s="4" t="s">
        <v>27</v>
      </c>
    </row>
    <row r="38" spans="1:31" x14ac:dyDescent="0.3">
      <c r="W38" s="4" t="s">
        <v>25</v>
      </c>
      <c r="X38" t="s">
        <v>7</v>
      </c>
      <c r="Y38" t="s">
        <v>8</v>
      </c>
      <c r="Z38" t="s">
        <v>9</v>
      </c>
      <c r="AA38" t="s">
        <v>26</v>
      </c>
    </row>
    <row r="39" spans="1:31" x14ac:dyDescent="0.3">
      <c r="W39" s="5" t="s">
        <v>47</v>
      </c>
      <c r="X39" s="2">
        <v>0.75895724344594517</v>
      </c>
      <c r="Y39" s="2">
        <v>0.66816310072214968</v>
      </c>
      <c r="Z39" s="2">
        <v>0.25800687049222315</v>
      </c>
      <c r="AA39" s="2">
        <v>1.685127214660318</v>
      </c>
    </row>
    <row r="40" spans="1:31" x14ac:dyDescent="0.3">
      <c r="W40" s="5" t="s">
        <v>48</v>
      </c>
      <c r="X40" s="2">
        <v>0.65955765903829056</v>
      </c>
      <c r="Y40" s="2">
        <v>0.6357077421724957</v>
      </c>
      <c r="Z40" s="2">
        <v>0.24066103746528458</v>
      </c>
      <c r="AA40" s="2">
        <v>1.5359264386760709</v>
      </c>
    </row>
    <row r="41" spans="1:31" x14ac:dyDescent="0.3">
      <c r="W41" s="5" t="s">
        <v>49</v>
      </c>
      <c r="X41" s="2">
        <v>0.71213234132625669</v>
      </c>
      <c r="Y41" s="2">
        <v>0.67404874489056321</v>
      </c>
      <c r="Z41" s="2">
        <v>0.25403710345663116</v>
      </c>
      <c r="AA41" s="2">
        <v>1.6402181896734511</v>
      </c>
    </row>
    <row r="42" spans="1:31" x14ac:dyDescent="0.3">
      <c r="W42" s="5" t="s">
        <v>50</v>
      </c>
      <c r="X42" s="2">
        <v>0.63151240934193886</v>
      </c>
      <c r="Y42" s="2">
        <v>0.63347922492869535</v>
      </c>
      <c r="Z42" s="2">
        <v>0.25510048182612954</v>
      </c>
      <c r="AA42" s="2">
        <v>1.5200921160967638</v>
      </c>
    </row>
    <row r="43" spans="1:31" x14ac:dyDescent="0.3">
      <c r="W43" s="5" t="s">
        <v>26</v>
      </c>
      <c r="X43" s="2">
        <v>2.7621596531524313</v>
      </c>
      <c r="Y43" s="2">
        <v>2.6113988127139041</v>
      </c>
      <c r="Z43" s="2">
        <v>1.0078054932402685</v>
      </c>
      <c r="AA43" s="2">
        <v>6.3813639591066043</v>
      </c>
    </row>
  </sheetData>
  <pageMargins left="0.7" right="0.7" top="0.75" bottom="0.75" header="0.3" footer="0.3"/>
  <drawing r:id="rId4"/>
  <tableParts count="8"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0C42-1BEB-44FE-A36E-3FF161BB6883}">
  <dimension ref="A1:AO43"/>
  <sheetViews>
    <sheetView showGridLines="0" tabSelected="1" zoomScale="85" zoomScaleNormal="85" workbookViewId="0">
      <pane ySplit="2" topLeftCell="A3" activePane="bottomLeft" state="frozen"/>
      <selection pane="bottomLeft" activeCell="J30" sqref="J30"/>
    </sheetView>
  </sheetViews>
  <sheetFormatPr defaultRowHeight="14.4" x14ac:dyDescent="0.3"/>
  <cols>
    <col min="1" max="1" width="12.88671875" customWidth="1"/>
    <col min="2" max="2" width="13.6640625" customWidth="1"/>
    <col min="3" max="3" width="8.33203125" customWidth="1"/>
    <col min="4" max="4" width="8.6640625" customWidth="1"/>
    <col min="5" max="5" width="12.6640625" customWidth="1"/>
    <col min="6" max="6" width="11.109375" customWidth="1"/>
    <col min="8" max="8" width="3" style="26" customWidth="1"/>
    <col min="9" max="9" width="18.5546875" bestFit="1" customWidth="1"/>
    <col min="14" max="14" width="2.88671875" style="26" customWidth="1"/>
    <col min="15" max="15" width="13.44140625" bestFit="1" customWidth="1"/>
    <col min="16" max="16" width="16.44140625" bestFit="1" customWidth="1"/>
    <col min="17" max="17" width="20.33203125" bestFit="1" customWidth="1"/>
    <col min="18" max="18" width="11.44140625" bestFit="1" customWidth="1"/>
    <col min="19" max="19" width="6.33203125" bestFit="1" customWidth="1"/>
    <col min="20" max="20" width="11.44140625" bestFit="1" customWidth="1"/>
    <col min="21" max="21" width="11.6640625" customWidth="1"/>
    <col min="22" max="22" width="4.109375" style="26" customWidth="1"/>
    <col min="23" max="23" width="16.33203125" bestFit="1" customWidth="1"/>
    <col min="24" max="24" width="16.44140625" bestFit="1" customWidth="1"/>
    <col min="25" max="26" width="4.5546875" bestFit="1" customWidth="1"/>
    <col min="27" max="28" width="11.44140625" bestFit="1" customWidth="1"/>
    <col min="29" max="31" width="9.109375" customWidth="1"/>
    <col min="32" max="33" width="7.6640625" customWidth="1"/>
    <col min="34" max="34" width="4.44140625" style="26" customWidth="1"/>
    <col min="35" max="35" width="13.44140625" bestFit="1" customWidth="1"/>
    <col min="36" max="36" width="16.33203125" bestFit="1" customWidth="1"/>
    <col min="37" max="38" width="4.5546875" bestFit="1" customWidth="1"/>
    <col min="39" max="39" width="11.44140625" bestFit="1" customWidth="1"/>
    <col min="40" max="41" width="11.33203125" customWidth="1"/>
    <col min="42" max="42" width="11.44140625" bestFit="1" customWidth="1"/>
  </cols>
  <sheetData>
    <row r="1" spans="1:41" s="25" customFormat="1" x14ac:dyDescent="0.3">
      <c r="A1" s="24" t="s">
        <v>32</v>
      </c>
      <c r="I1" s="24" t="s">
        <v>43</v>
      </c>
      <c r="O1" s="24" t="s">
        <v>33</v>
      </c>
      <c r="W1" s="24" t="s">
        <v>36</v>
      </c>
      <c r="AI1" s="24" t="s">
        <v>39</v>
      </c>
    </row>
    <row r="2" spans="1:41" x14ac:dyDescent="0.3">
      <c r="A2" s="6" t="s">
        <v>44</v>
      </c>
      <c r="I2" s="6" t="s">
        <v>45</v>
      </c>
      <c r="O2" s="6" t="s">
        <v>45</v>
      </c>
      <c r="T2" s="28" t="s">
        <v>16</v>
      </c>
      <c r="U2" s="28">
        <v>0.25</v>
      </c>
      <c r="W2" s="27" t="s">
        <v>41</v>
      </c>
      <c r="AI2" t="s">
        <v>40</v>
      </c>
    </row>
    <row r="3" spans="1:41" x14ac:dyDescent="0.3">
      <c r="A3" s="6"/>
      <c r="I3" s="6"/>
      <c r="T3" s="28" t="s">
        <v>15</v>
      </c>
      <c r="U3" s="28">
        <v>0.75</v>
      </c>
    </row>
    <row r="4" spans="1:41" x14ac:dyDescent="0.3">
      <c r="A4" s="6"/>
      <c r="I4" s="6"/>
    </row>
    <row r="5" spans="1:41" x14ac:dyDescent="0.3">
      <c r="A5" s="6"/>
      <c r="I5" s="6"/>
      <c r="O5" s="6"/>
    </row>
    <row r="6" spans="1:41" x14ac:dyDescent="0.3">
      <c r="A6" s="6"/>
      <c r="I6" s="6"/>
    </row>
    <row r="8" spans="1:41" x14ac:dyDescent="0.3">
      <c r="A8" t="s">
        <v>6</v>
      </c>
      <c r="B8" t="s">
        <v>11</v>
      </c>
      <c r="C8" t="s">
        <v>2</v>
      </c>
      <c r="D8" t="s">
        <v>3</v>
      </c>
      <c r="E8" t="s">
        <v>4</v>
      </c>
      <c r="F8" t="s">
        <v>5</v>
      </c>
      <c r="G8" t="s">
        <v>51</v>
      </c>
      <c r="I8" t="s">
        <v>23</v>
      </c>
      <c r="J8" t="s">
        <v>17</v>
      </c>
      <c r="K8" t="s">
        <v>18</v>
      </c>
      <c r="L8" t="s">
        <v>20</v>
      </c>
      <c r="M8" t="s">
        <v>19</v>
      </c>
      <c r="O8" t="s">
        <v>23</v>
      </c>
      <c r="P8" t="s">
        <v>17</v>
      </c>
      <c r="Q8" t="s">
        <v>18</v>
      </c>
      <c r="R8" t="s">
        <v>20</v>
      </c>
      <c r="S8" t="s">
        <v>19</v>
      </c>
      <c r="W8" s="8" t="s">
        <v>6</v>
      </c>
      <c r="X8" s="8" t="s">
        <v>11</v>
      </c>
      <c r="Y8" s="8" t="s">
        <v>2</v>
      </c>
      <c r="Z8" s="8" t="s">
        <v>3</v>
      </c>
      <c r="AA8" s="8" t="s">
        <v>4</v>
      </c>
      <c r="AB8" s="8" t="s">
        <v>35</v>
      </c>
      <c r="AI8" s="20" t="s">
        <v>6</v>
      </c>
      <c r="AJ8" s="21" t="s">
        <v>11</v>
      </c>
      <c r="AK8" s="21" t="s">
        <v>2</v>
      </c>
      <c r="AL8" s="21" t="s">
        <v>3</v>
      </c>
      <c r="AM8" s="21" t="s">
        <v>4</v>
      </c>
      <c r="AN8" s="21" t="s">
        <v>35</v>
      </c>
    </row>
    <row r="9" spans="1:41" x14ac:dyDescent="0.3">
      <c r="A9" t="s">
        <v>0</v>
      </c>
      <c r="B9" t="s">
        <v>12</v>
      </c>
      <c r="C9" t="s">
        <v>1</v>
      </c>
      <c r="D9" t="s">
        <v>47</v>
      </c>
      <c r="E9" t="s">
        <v>7</v>
      </c>
      <c r="G9">
        <v>2.4497800000000001</v>
      </c>
      <c r="I9" t="s">
        <v>13</v>
      </c>
      <c r="J9" s="1">
        <f>G29</f>
        <v>3.8</v>
      </c>
      <c r="K9" s="1">
        <f>G30</f>
        <v>3.9</v>
      </c>
      <c r="L9" s="1">
        <f>G31</f>
        <v>4.5999999999999996</v>
      </c>
      <c r="M9" s="1">
        <f>G32</f>
        <v>4.8</v>
      </c>
      <c r="O9" t="s">
        <v>22</v>
      </c>
      <c r="P9" s="2">
        <f>1/(U2+U3/1)</f>
        <v>1</v>
      </c>
      <c r="Q9" s="2">
        <f>1/(U2+U3/2)</f>
        <v>1.6</v>
      </c>
      <c r="R9" s="2">
        <f>1/(U2+U3/4)</f>
        <v>2.2857142857142856</v>
      </c>
      <c r="S9" s="2">
        <f>1/(U2+U3/8)</f>
        <v>2.9090909090909092</v>
      </c>
      <c r="W9" s="9" t="s">
        <v>0</v>
      </c>
      <c r="X9" s="9" t="s">
        <v>13</v>
      </c>
      <c r="Y9" s="9" t="s">
        <v>1</v>
      </c>
      <c r="Z9" s="9">
        <v>1</v>
      </c>
      <c r="AA9" s="9" t="s">
        <v>7</v>
      </c>
      <c r="AB9" s="15">
        <f t="shared" ref="AB9:AB20" si="0">G25</f>
        <v>2.6</v>
      </c>
      <c r="AI9" s="12" t="s">
        <v>0</v>
      </c>
      <c r="AJ9" s="12" t="s">
        <v>13</v>
      </c>
      <c r="AK9" s="12" t="s">
        <v>1</v>
      </c>
      <c r="AL9" s="12">
        <v>1</v>
      </c>
      <c r="AM9" s="12" t="s">
        <v>7</v>
      </c>
      <c r="AN9" s="22">
        <f t="shared" ref="AN9" si="1">G25</f>
        <v>2.6</v>
      </c>
    </row>
    <row r="10" spans="1:41" x14ac:dyDescent="0.3">
      <c r="A10" t="s">
        <v>0</v>
      </c>
      <c r="B10" t="s">
        <v>12</v>
      </c>
      <c r="C10" t="s">
        <v>1</v>
      </c>
      <c r="D10" t="s">
        <v>47</v>
      </c>
      <c r="E10" t="s">
        <v>8</v>
      </c>
      <c r="G10">
        <v>4.17659</v>
      </c>
      <c r="I10" t="s">
        <v>38</v>
      </c>
      <c r="J10" s="2">
        <f>Table36710628[[#This Row],[Time]]</f>
        <v>4.17659</v>
      </c>
      <c r="K10" s="2">
        <f>G14</f>
        <v>3.32</v>
      </c>
      <c r="L10" s="2">
        <f>G18</f>
        <v>2.98</v>
      </c>
      <c r="M10" s="2">
        <f>G22</f>
        <v>2.61</v>
      </c>
      <c r="O10" t="s">
        <v>24</v>
      </c>
      <c r="P10" s="2">
        <f>J9/Table711729[[#This Row],[core 1]]</f>
        <v>0.90983314139046445</v>
      </c>
      <c r="Q10" s="2">
        <f>K9/Table711729[[#This Row],[core 2]]</f>
        <v>1.1746987951807228</v>
      </c>
      <c r="R10" s="2">
        <f>L9/Table711729[[#This Row],[core 4]]</f>
        <v>1.5436241610738255</v>
      </c>
      <c r="S10" s="2">
        <f>M9/Table711729[[#This Row],[core 8]]</f>
        <v>1.8390804597701149</v>
      </c>
      <c r="W10" s="9" t="s">
        <v>0</v>
      </c>
      <c r="X10" s="9" t="s">
        <v>13</v>
      </c>
      <c r="Y10" s="9" t="s">
        <v>1</v>
      </c>
      <c r="Z10" s="9">
        <v>2</v>
      </c>
      <c r="AA10" s="9" t="s">
        <v>7</v>
      </c>
      <c r="AB10" s="15">
        <f t="shared" si="0"/>
        <v>2.8</v>
      </c>
      <c r="AI10" s="12" t="s">
        <v>0</v>
      </c>
      <c r="AJ10" s="12" t="s">
        <v>13</v>
      </c>
      <c r="AK10" s="12" t="s">
        <v>1</v>
      </c>
      <c r="AL10" s="12">
        <v>1</v>
      </c>
      <c r="AM10" s="12" t="s">
        <v>8</v>
      </c>
      <c r="AN10" s="22">
        <f>G29</f>
        <v>3.8</v>
      </c>
    </row>
    <row r="11" spans="1:41" x14ac:dyDescent="0.3">
      <c r="A11" t="s">
        <v>0</v>
      </c>
      <c r="B11" t="s">
        <v>12</v>
      </c>
      <c r="C11" t="s">
        <v>1</v>
      </c>
      <c r="D11" t="s">
        <v>47</v>
      </c>
      <c r="E11" t="s">
        <v>9</v>
      </c>
      <c r="G11">
        <v>6.76</v>
      </c>
      <c r="W11" s="9" t="s">
        <v>0</v>
      </c>
      <c r="X11" s="9" t="s">
        <v>13</v>
      </c>
      <c r="Y11" s="9" t="s">
        <v>1</v>
      </c>
      <c r="Z11" s="9">
        <v>4</v>
      </c>
      <c r="AA11" s="9" t="s">
        <v>7</v>
      </c>
      <c r="AB11" s="15">
        <f t="shared" si="0"/>
        <v>2.9</v>
      </c>
      <c r="AI11" s="16" t="s">
        <v>0</v>
      </c>
      <c r="AJ11" s="16" t="s">
        <v>13</v>
      </c>
      <c r="AK11" s="16" t="s">
        <v>1</v>
      </c>
      <c r="AL11" s="16">
        <v>1</v>
      </c>
      <c r="AM11" s="16" t="s">
        <v>9</v>
      </c>
      <c r="AN11" s="23">
        <f>G33</f>
        <v>6.8</v>
      </c>
    </row>
    <row r="12" spans="1:41" x14ac:dyDescent="0.3">
      <c r="A12" s="30" t="s">
        <v>0</v>
      </c>
      <c r="B12" s="30" t="s">
        <v>12</v>
      </c>
      <c r="C12" s="30" t="s">
        <v>1</v>
      </c>
      <c r="D12" s="30" t="s">
        <v>47</v>
      </c>
      <c r="E12" s="30" t="s">
        <v>10</v>
      </c>
      <c r="F12" s="30"/>
      <c r="G12" s="30"/>
      <c r="J12" s="2"/>
      <c r="K12" s="2"/>
      <c r="L12" s="2"/>
      <c r="M12" s="2"/>
      <c r="W12" s="9" t="s">
        <v>0</v>
      </c>
      <c r="X12" s="9" t="s">
        <v>13</v>
      </c>
      <c r="Y12" s="9" t="s">
        <v>1</v>
      </c>
      <c r="Z12" s="9">
        <v>8</v>
      </c>
      <c r="AA12" s="9" t="s">
        <v>7</v>
      </c>
      <c r="AB12" s="15">
        <f t="shared" si="0"/>
        <v>2.98</v>
      </c>
    </row>
    <row r="13" spans="1:41" x14ac:dyDescent="0.3">
      <c r="A13" t="s">
        <v>0</v>
      </c>
      <c r="B13" t="s">
        <v>12</v>
      </c>
      <c r="C13" t="s">
        <v>1</v>
      </c>
      <c r="D13" t="s">
        <v>48</v>
      </c>
      <c r="E13" t="s">
        <v>7</v>
      </c>
      <c r="G13">
        <v>2.1</v>
      </c>
      <c r="J13">
        <v>3.8</v>
      </c>
      <c r="O13" s="6" t="s">
        <v>34</v>
      </c>
      <c r="W13" s="9" t="s">
        <v>0</v>
      </c>
      <c r="X13" s="9" t="s">
        <v>13</v>
      </c>
      <c r="Y13" s="9" t="s">
        <v>1</v>
      </c>
      <c r="Z13" s="9">
        <v>1</v>
      </c>
      <c r="AA13" s="9" t="s">
        <v>8</v>
      </c>
      <c r="AB13" s="15">
        <f t="shared" si="0"/>
        <v>3.8</v>
      </c>
    </row>
    <row r="14" spans="1:41" x14ac:dyDescent="0.3">
      <c r="A14" t="s">
        <v>0</v>
      </c>
      <c r="B14" t="s">
        <v>12</v>
      </c>
      <c r="C14" t="s">
        <v>1</v>
      </c>
      <c r="D14" t="s">
        <v>48</v>
      </c>
      <c r="E14" t="s">
        <v>8</v>
      </c>
      <c r="G14">
        <v>3.32</v>
      </c>
      <c r="J14">
        <v>3.79</v>
      </c>
      <c r="O14" t="s">
        <v>21</v>
      </c>
      <c r="P14" t="s">
        <v>51</v>
      </c>
      <c r="Q14" t="s">
        <v>52</v>
      </c>
      <c r="R14" t="s">
        <v>53</v>
      </c>
      <c r="W14" s="9" t="s">
        <v>0</v>
      </c>
      <c r="X14" s="9" t="s">
        <v>13</v>
      </c>
      <c r="Y14" s="9" t="s">
        <v>1</v>
      </c>
      <c r="Z14" s="9">
        <v>2</v>
      </c>
      <c r="AA14" s="9" t="s">
        <v>8</v>
      </c>
      <c r="AB14" s="15">
        <f t="shared" si="0"/>
        <v>3.9</v>
      </c>
      <c r="AI14" s="11" t="s">
        <v>6</v>
      </c>
      <c r="AJ14" s="11" t="s">
        <v>11</v>
      </c>
      <c r="AK14" s="11" t="s">
        <v>2</v>
      </c>
      <c r="AL14" s="11" t="s">
        <v>3</v>
      </c>
      <c r="AM14" s="11" t="s">
        <v>4</v>
      </c>
      <c r="AN14" s="11" t="s">
        <v>35</v>
      </c>
      <c r="AO14" s="11" t="s">
        <v>42</v>
      </c>
    </row>
    <row r="15" spans="1:41" x14ac:dyDescent="0.3">
      <c r="A15" t="s">
        <v>0</v>
      </c>
      <c r="B15" t="s">
        <v>12</v>
      </c>
      <c r="C15" t="s">
        <v>1</v>
      </c>
      <c r="D15" t="s">
        <v>48</v>
      </c>
      <c r="E15" t="s">
        <v>9</v>
      </c>
      <c r="G15">
        <v>5.8010000000000002</v>
      </c>
      <c r="O15" t="s">
        <v>30</v>
      </c>
      <c r="P15" s="2">
        <f>P9</f>
        <v>1</v>
      </c>
      <c r="Q15" t="s">
        <v>17</v>
      </c>
      <c r="R15" t="s">
        <v>8</v>
      </c>
      <c r="W15" s="9" t="s">
        <v>0</v>
      </c>
      <c r="X15" s="9" t="s">
        <v>13</v>
      </c>
      <c r="Y15" s="9" t="s">
        <v>1</v>
      </c>
      <c r="Z15" s="9">
        <v>4</v>
      </c>
      <c r="AA15" s="9" t="s">
        <v>8</v>
      </c>
      <c r="AB15" s="15">
        <f t="shared" si="0"/>
        <v>4.5999999999999996</v>
      </c>
      <c r="AI15" s="12" t="s">
        <v>0</v>
      </c>
      <c r="AJ15" s="12" t="s">
        <v>12</v>
      </c>
      <c r="AK15" s="12" t="s">
        <v>1</v>
      </c>
      <c r="AL15" s="12" t="s">
        <v>48</v>
      </c>
      <c r="AM15" s="12" t="s">
        <v>7</v>
      </c>
      <c r="AN15" s="13">
        <f t="shared" ref="AN15:AN17" si="2">G21</f>
        <v>1.86</v>
      </c>
      <c r="AO15" s="14">
        <f>AN9/Table1321633[[#This Row],[Ex time]]</f>
        <v>1.3978494623655913</v>
      </c>
    </row>
    <row r="16" spans="1:41" x14ac:dyDescent="0.3">
      <c r="A16" s="30" t="s">
        <v>0</v>
      </c>
      <c r="B16" s="30" t="s">
        <v>12</v>
      </c>
      <c r="C16" s="30" t="s">
        <v>1</v>
      </c>
      <c r="D16" s="30" t="s">
        <v>48</v>
      </c>
      <c r="E16" s="30" t="s">
        <v>10</v>
      </c>
      <c r="F16" s="30"/>
      <c r="G16" s="30"/>
      <c r="J16">
        <f>J13/J14</f>
        <v>1.0026385224274406</v>
      </c>
      <c r="O16" t="s">
        <v>30</v>
      </c>
      <c r="P16" s="2">
        <f>Q9</f>
        <v>1.6</v>
      </c>
      <c r="Q16" t="s">
        <v>18</v>
      </c>
      <c r="R16" t="s">
        <v>8</v>
      </c>
      <c r="W16" s="9" t="s">
        <v>0</v>
      </c>
      <c r="X16" s="9" t="s">
        <v>13</v>
      </c>
      <c r="Y16" s="9" t="s">
        <v>1</v>
      </c>
      <c r="Z16" s="9">
        <v>8</v>
      </c>
      <c r="AA16" s="9" t="s">
        <v>8</v>
      </c>
      <c r="AB16" s="15">
        <f t="shared" si="0"/>
        <v>4.8</v>
      </c>
      <c r="AI16" s="12" t="s">
        <v>0</v>
      </c>
      <c r="AJ16" s="12" t="s">
        <v>12</v>
      </c>
      <c r="AK16" s="12" t="s">
        <v>1</v>
      </c>
      <c r="AL16" s="12" t="s">
        <v>49</v>
      </c>
      <c r="AM16" s="12" t="s">
        <v>8</v>
      </c>
      <c r="AN16" s="18">
        <f t="shared" si="2"/>
        <v>2.61</v>
      </c>
      <c r="AO16" s="13">
        <f>AN10/Table1321633[[#This Row],[Ex time]]</f>
        <v>1.4559386973180077</v>
      </c>
    </row>
    <row r="17" spans="1:41" x14ac:dyDescent="0.3">
      <c r="A17" t="s">
        <v>0</v>
      </c>
      <c r="B17" t="s">
        <v>12</v>
      </c>
      <c r="C17" t="s">
        <v>1</v>
      </c>
      <c r="D17" t="s">
        <v>49</v>
      </c>
      <c r="E17" t="s">
        <v>7</v>
      </c>
      <c r="G17">
        <v>2.02</v>
      </c>
      <c r="O17" t="s">
        <v>30</v>
      </c>
      <c r="P17" s="2">
        <f>R9</f>
        <v>2.2857142857142856</v>
      </c>
      <c r="Q17" t="s">
        <v>20</v>
      </c>
      <c r="R17" t="s">
        <v>8</v>
      </c>
      <c r="W17" s="9" t="s">
        <v>0</v>
      </c>
      <c r="X17" s="9" t="s">
        <v>13</v>
      </c>
      <c r="Y17" s="9" t="s">
        <v>1</v>
      </c>
      <c r="Z17" s="9">
        <v>1</v>
      </c>
      <c r="AA17" s="9" t="s">
        <v>9</v>
      </c>
      <c r="AB17" s="15">
        <f t="shared" si="0"/>
        <v>6.8</v>
      </c>
      <c r="AI17" s="16" t="s">
        <v>0</v>
      </c>
      <c r="AJ17" s="16" t="s">
        <v>12</v>
      </c>
      <c r="AK17" s="16" t="s">
        <v>1</v>
      </c>
      <c r="AL17" s="16" t="s">
        <v>50</v>
      </c>
      <c r="AM17" s="16" t="s">
        <v>9</v>
      </c>
      <c r="AN17" s="17">
        <f t="shared" si="2"/>
        <v>4.13</v>
      </c>
      <c r="AO17" s="13">
        <f>AN11/Table1321633[[#This Row],[Ex time]]</f>
        <v>1.6464891041162228</v>
      </c>
    </row>
    <row r="18" spans="1:41" x14ac:dyDescent="0.3">
      <c r="A18" t="s">
        <v>0</v>
      </c>
      <c r="B18" t="s">
        <v>12</v>
      </c>
      <c r="C18" t="s">
        <v>1</v>
      </c>
      <c r="D18" t="s">
        <v>49</v>
      </c>
      <c r="E18" t="s">
        <v>8</v>
      </c>
      <c r="G18">
        <v>2.98</v>
      </c>
      <c r="O18" t="s">
        <v>30</v>
      </c>
      <c r="P18" s="2">
        <f>S9</f>
        <v>2.9090909090909092</v>
      </c>
      <c r="Q18" t="s">
        <v>19</v>
      </c>
      <c r="R18" t="s">
        <v>8</v>
      </c>
      <c r="W18" s="9" t="s">
        <v>0</v>
      </c>
      <c r="X18" s="9" t="s">
        <v>13</v>
      </c>
      <c r="Y18" s="9" t="s">
        <v>1</v>
      </c>
      <c r="Z18" s="9">
        <v>2</v>
      </c>
      <c r="AA18" s="9" t="s">
        <v>9</v>
      </c>
      <c r="AB18" s="15">
        <f t="shared" si="0"/>
        <v>6.5</v>
      </c>
    </row>
    <row r="19" spans="1:41" x14ac:dyDescent="0.3">
      <c r="A19" t="s">
        <v>0</v>
      </c>
      <c r="B19" t="s">
        <v>12</v>
      </c>
      <c r="C19" t="s">
        <v>1</v>
      </c>
      <c r="D19" t="s">
        <v>49</v>
      </c>
      <c r="E19" t="s">
        <v>9</v>
      </c>
      <c r="G19">
        <v>4.6900000000000004</v>
      </c>
      <c r="O19" t="s">
        <v>24</v>
      </c>
      <c r="P19" s="2">
        <f>P10</f>
        <v>0.90983314139046445</v>
      </c>
      <c r="Q19" t="s">
        <v>17</v>
      </c>
      <c r="R19" t="s">
        <v>8</v>
      </c>
      <c r="W19" s="9" t="s">
        <v>0</v>
      </c>
      <c r="X19" s="9" t="s">
        <v>13</v>
      </c>
      <c r="Y19" s="9" t="s">
        <v>1</v>
      </c>
      <c r="Z19" s="9">
        <v>4</v>
      </c>
      <c r="AA19" s="9" t="s">
        <v>9</v>
      </c>
      <c r="AB19" s="15">
        <f t="shared" si="0"/>
        <v>6.1</v>
      </c>
    </row>
    <row r="20" spans="1:41" x14ac:dyDescent="0.3">
      <c r="A20" s="30" t="s">
        <v>0</v>
      </c>
      <c r="B20" s="30" t="s">
        <v>12</v>
      </c>
      <c r="C20" s="30" t="s">
        <v>1</v>
      </c>
      <c r="D20" s="30" t="s">
        <v>49</v>
      </c>
      <c r="E20" s="30" t="s">
        <v>10</v>
      </c>
      <c r="F20" s="30"/>
      <c r="G20" s="30"/>
      <c r="O20" t="s">
        <v>24</v>
      </c>
      <c r="P20" s="2">
        <f>Q10</f>
        <v>1.1746987951807228</v>
      </c>
      <c r="Q20" t="s">
        <v>18</v>
      </c>
      <c r="R20" t="s">
        <v>8</v>
      </c>
      <c r="W20" s="9" t="s">
        <v>0</v>
      </c>
      <c r="X20" s="9" t="s">
        <v>13</v>
      </c>
      <c r="Y20" s="9" t="s">
        <v>1</v>
      </c>
      <c r="Z20" s="9">
        <v>8</v>
      </c>
      <c r="AA20" s="9" t="s">
        <v>9</v>
      </c>
      <c r="AB20" s="15">
        <f t="shared" si="0"/>
        <v>6.2</v>
      </c>
      <c r="AI20" s="4" t="s">
        <v>25</v>
      </c>
      <c r="AJ20" t="s">
        <v>46</v>
      </c>
    </row>
    <row r="21" spans="1:41" x14ac:dyDescent="0.3">
      <c r="A21" t="s">
        <v>0</v>
      </c>
      <c r="B21" t="s">
        <v>12</v>
      </c>
      <c r="C21" t="s">
        <v>1</v>
      </c>
      <c r="D21" t="s">
        <v>50</v>
      </c>
      <c r="E21" t="s">
        <v>7</v>
      </c>
      <c r="G21">
        <v>1.86</v>
      </c>
      <c r="O21" t="s">
        <v>24</v>
      </c>
      <c r="P21" s="2">
        <f>R10</f>
        <v>1.5436241610738255</v>
      </c>
      <c r="Q21" t="s">
        <v>20</v>
      </c>
      <c r="R21" t="s">
        <v>8</v>
      </c>
      <c r="AI21" s="5" t="s">
        <v>7</v>
      </c>
      <c r="AJ21" s="2">
        <v>1.3978494623655913</v>
      </c>
    </row>
    <row r="22" spans="1:41" x14ac:dyDescent="0.3">
      <c r="A22" t="s">
        <v>0</v>
      </c>
      <c r="B22" t="s">
        <v>12</v>
      </c>
      <c r="C22" t="s">
        <v>1</v>
      </c>
      <c r="D22" t="s">
        <v>50</v>
      </c>
      <c r="E22" t="s">
        <v>8</v>
      </c>
      <c r="G22">
        <v>2.61</v>
      </c>
      <c r="L22" s="2"/>
      <c r="M22" s="3"/>
      <c r="O22" t="s">
        <v>24</v>
      </c>
      <c r="P22" s="2">
        <f>S10</f>
        <v>1.8390804597701149</v>
      </c>
      <c r="Q22" t="s">
        <v>19</v>
      </c>
      <c r="R22" t="s">
        <v>8</v>
      </c>
      <c r="W22" s="11" t="s">
        <v>6</v>
      </c>
      <c r="X22" s="11" t="s">
        <v>11</v>
      </c>
      <c r="Y22" s="11" t="s">
        <v>2</v>
      </c>
      <c r="Z22" s="11" t="s">
        <v>3</v>
      </c>
      <c r="AA22" s="11" t="s">
        <v>4</v>
      </c>
      <c r="AB22" s="11" t="s">
        <v>35</v>
      </c>
      <c r="AC22" s="11" t="s">
        <v>21</v>
      </c>
      <c r="AD22" s="8"/>
      <c r="AE22" s="8"/>
      <c r="AI22" s="29" t="s">
        <v>48</v>
      </c>
      <c r="AJ22" s="2">
        <v>1.3978494623655913</v>
      </c>
    </row>
    <row r="23" spans="1:41" x14ac:dyDescent="0.3">
      <c r="A23" t="s">
        <v>0</v>
      </c>
      <c r="B23" t="s">
        <v>12</v>
      </c>
      <c r="C23" t="s">
        <v>1</v>
      </c>
      <c r="D23" t="s">
        <v>50</v>
      </c>
      <c r="E23" t="s">
        <v>9</v>
      </c>
      <c r="G23">
        <v>4.13</v>
      </c>
      <c r="L23" s="2"/>
      <c r="M23" s="2"/>
      <c r="W23" s="12" t="s">
        <v>0</v>
      </c>
      <c r="X23" s="12" t="s">
        <v>12</v>
      </c>
      <c r="Y23" s="12" t="s">
        <v>1</v>
      </c>
      <c r="Z23" s="12" t="s">
        <v>47</v>
      </c>
      <c r="AA23" s="12" t="s">
        <v>7</v>
      </c>
      <c r="AB23" s="13">
        <f t="shared" ref="AB23" si="3">G9</f>
        <v>2.4497800000000001</v>
      </c>
      <c r="AC23" s="14">
        <f>AB9/Table131532[[#This Row],[Ex time]]</f>
        <v>1.0613197919813209</v>
      </c>
      <c r="AD23" s="15"/>
      <c r="AE23" s="15"/>
      <c r="AI23" s="5" t="s">
        <v>8</v>
      </c>
      <c r="AJ23" s="2">
        <v>1.4559386973180077</v>
      </c>
    </row>
    <row r="24" spans="1:41" x14ac:dyDescent="0.3">
      <c r="A24" s="30" t="s">
        <v>0</v>
      </c>
      <c r="B24" s="30" t="s">
        <v>12</v>
      </c>
      <c r="C24" s="30" t="s">
        <v>1</v>
      </c>
      <c r="D24" s="30" t="s">
        <v>50</v>
      </c>
      <c r="E24" s="30" t="s">
        <v>10</v>
      </c>
      <c r="F24" s="30"/>
      <c r="G24" s="30"/>
      <c r="W24" s="12" t="s">
        <v>0</v>
      </c>
      <c r="X24" s="12" t="s">
        <v>12</v>
      </c>
      <c r="Y24" s="12" t="s">
        <v>1</v>
      </c>
      <c r="Z24" s="12" t="s">
        <v>48</v>
      </c>
      <c r="AA24" s="12" t="s">
        <v>7</v>
      </c>
      <c r="AB24" s="13">
        <f>G13</f>
        <v>2.1</v>
      </c>
      <c r="AC24" s="14">
        <f>AB9/Table131532[[#This Row],[Ex time]]</f>
        <v>1.2380952380952381</v>
      </c>
      <c r="AD24" s="15"/>
      <c r="AE24" s="15"/>
      <c r="AI24" s="29" t="s">
        <v>49</v>
      </c>
      <c r="AJ24" s="2">
        <v>1.4559386973180077</v>
      </c>
    </row>
    <row r="25" spans="1:41" x14ac:dyDescent="0.3">
      <c r="A25" t="s">
        <v>0</v>
      </c>
      <c r="B25" t="s">
        <v>13</v>
      </c>
      <c r="C25" t="s">
        <v>1</v>
      </c>
      <c r="D25" t="s">
        <v>47</v>
      </c>
      <c r="E25" t="s">
        <v>7</v>
      </c>
      <c r="G25">
        <v>2.6</v>
      </c>
      <c r="O25" s="4" t="s">
        <v>54</v>
      </c>
      <c r="P25" s="4" t="s">
        <v>27</v>
      </c>
      <c r="W25" s="12" t="s">
        <v>0</v>
      </c>
      <c r="X25" s="12" t="s">
        <v>12</v>
      </c>
      <c r="Y25" s="12" t="s">
        <v>1</v>
      </c>
      <c r="Z25" s="12" t="s">
        <v>49</v>
      </c>
      <c r="AA25" s="12" t="s">
        <v>7</v>
      </c>
      <c r="AB25" s="15">
        <f>G17</f>
        <v>2.02</v>
      </c>
      <c r="AC25" s="13">
        <f>AB9/Table131532[[#This Row],[Ex time]]</f>
        <v>1.2871287128712872</v>
      </c>
      <c r="AD25" s="15"/>
      <c r="AE25" s="15"/>
      <c r="AI25" s="5" t="s">
        <v>9</v>
      </c>
      <c r="AJ25" s="2">
        <v>1.6464891041162228</v>
      </c>
    </row>
    <row r="26" spans="1:41" x14ac:dyDescent="0.3">
      <c r="A26" t="s">
        <v>0</v>
      </c>
      <c r="B26" t="s">
        <v>13</v>
      </c>
      <c r="C26" t="s">
        <v>1</v>
      </c>
      <c r="D26" t="s">
        <v>48</v>
      </c>
      <c r="E26" t="s">
        <v>7</v>
      </c>
      <c r="G26">
        <v>2.8</v>
      </c>
      <c r="O26" s="4" t="s">
        <v>25</v>
      </c>
      <c r="P26" t="s">
        <v>24</v>
      </c>
      <c r="Q26" t="s">
        <v>30</v>
      </c>
      <c r="R26" t="s">
        <v>26</v>
      </c>
      <c r="W26" s="16" t="s">
        <v>0</v>
      </c>
      <c r="X26" s="16" t="s">
        <v>12</v>
      </c>
      <c r="Y26" s="16" t="s">
        <v>1</v>
      </c>
      <c r="Z26" s="16" t="s">
        <v>50</v>
      </c>
      <c r="AA26" s="12" t="s">
        <v>7</v>
      </c>
      <c r="AB26" s="17">
        <f>G21</f>
        <v>1.86</v>
      </c>
      <c r="AC26" s="17">
        <f>AB9/Table131532[[#This Row],[Ex time]]</f>
        <v>1.3978494623655913</v>
      </c>
      <c r="AD26" s="15"/>
      <c r="AE26" s="15"/>
      <c r="AI26" s="29" t="s">
        <v>50</v>
      </c>
      <c r="AJ26" s="2">
        <v>1.6464891041162228</v>
      </c>
    </row>
    <row r="27" spans="1:41" x14ac:dyDescent="0.3">
      <c r="A27" t="s">
        <v>0</v>
      </c>
      <c r="B27" t="s">
        <v>13</v>
      </c>
      <c r="C27" t="s">
        <v>1</v>
      </c>
      <c r="D27" t="s">
        <v>49</v>
      </c>
      <c r="E27" t="s">
        <v>7</v>
      </c>
      <c r="G27">
        <v>2.9</v>
      </c>
      <c r="O27" s="5" t="s">
        <v>17</v>
      </c>
      <c r="P27" s="2">
        <v>0.90983314139046445</v>
      </c>
      <c r="Q27" s="2">
        <v>1</v>
      </c>
      <c r="R27" s="2">
        <v>1.9098331413904646</v>
      </c>
      <c r="W27" s="12" t="s">
        <v>0</v>
      </c>
      <c r="X27" s="12" t="s">
        <v>12</v>
      </c>
      <c r="Y27" s="12" t="s">
        <v>1</v>
      </c>
      <c r="Z27" s="12" t="s">
        <v>47</v>
      </c>
      <c r="AA27" s="12" t="s">
        <v>8</v>
      </c>
      <c r="AB27" s="18">
        <f>G10</f>
        <v>4.17659</v>
      </c>
      <c r="AC27" s="13">
        <f>AB24/Table131532[[#This Row],[Ex time]]</f>
        <v>0.50280252550525673</v>
      </c>
      <c r="AD27" s="15"/>
      <c r="AE27" s="15"/>
      <c r="AI27" s="5" t="s">
        <v>26</v>
      </c>
      <c r="AJ27" s="2">
        <v>4.5002772637998216</v>
      </c>
    </row>
    <row r="28" spans="1:41" x14ac:dyDescent="0.3">
      <c r="A28" t="s">
        <v>0</v>
      </c>
      <c r="B28" t="s">
        <v>13</v>
      </c>
      <c r="C28" t="s">
        <v>1</v>
      </c>
      <c r="D28" t="s">
        <v>50</v>
      </c>
      <c r="E28" t="s">
        <v>7</v>
      </c>
      <c r="G28">
        <v>2.98</v>
      </c>
      <c r="O28" s="5" t="s">
        <v>18</v>
      </c>
      <c r="P28" s="2">
        <v>1.1746987951807228</v>
      </c>
      <c r="Q28" s="2">
        <v>1.6</v>
      </c>
      <c r="R28" s="2">
        <v>2.7746987951807229</v>
      </c>
      <c r="W28" s="12" t="s">
        <v>0</v>
      </c>
      <c r="X28" s="12" t="s">
        <v>12</v>
      </c>
      <c r="Y28" s="12" t="s">
        <v>1</v>
      </c>
      <c r="Z28" s="12" t="s">
        <v>48</v>
      </c>
      <c r="AA28" s="12" t="s">
        <v>8</v>
      </c>
      <c r="AB28" s="18">
        <f>G14</f>
        <v>3.32</v>
      </c>
      <c r="AC28" s="13">
        <f>AB24/Table131532[[#This Row],[Ex time]]</f>
        <v>0.6325301204819278</v>
      </c>
      <c r="AD28" s="15"/>
      <c r="AE28" s="15"/>
    </row>
    <row r="29" spans="1:41" x14ac:dyDescent="0.3">
      <c r="A29" t="s">
        <v>0</v>
      </c>
      <c r="B29" t="s">
        <v>13</v>
      </c>
      <c r="C29" t="s">
        <v>1</v>
      </c>
      <c r="D29" t="s">
        <v>47</v>
      </c>
      <c r="E29" t="s">
        <v>8</v>
      </c>
      <c r="G29">
        <v>3.8</v>
      </c>
      <c r="O29" s="5" t="s">
        <v>20</v>
      </c>
      <c r="P29" s="2">
        <v>1.5436241610738255</v>
      </c>
      <c r="Q29" s="2">
        <v>2.2857142857142856</v>
      </c>
      <c r="R29" s="2">
        <v>3.8293384467881113</v>
      </c>
      <c r="W29" s="12" t="s">
        <v>0</v>
      </c>
      <c r="X29" s="12" t="s">
        <v>12</v>
      </c>
      <c r="Y29" s="12" t="s">
        <v>1</v>
      </c>
      <c r="Z29" s="12" t="s">
        <v>49</v>
      </c>
      <c r="AA29" s="12" t="s">
        <v>8</v>
      </c>
      <c r="AB29" s="18">
        <f>G18</f>
        <v>2.98</v>
      </c>
      <c r="AC29" s="13">
        <f>AB24/Table131532[[#This Row],[Ex time]]</f>
        <v>0.70469798657718119</v>
      </c>
      <c r="AD29" s="15"/>
      <c r="AE29" s="15"/>
    </row>
    <row r="30" spans="1:41" x14ac:dyDescent="0.3">
      <c r="A30" t="s">
        <v>0</v>
      </c>
      <c r="B30" t="s">
        <v>13</v>
      </c>
      <c r="C30" t="s">
        <v>1</v>
      </c>
      <c r="D30" t="s">
        <v>48</v>
      </c>
      <c r="E30" t="s">
        <v>8</v>
      </c>
      <c r="G30">
        <v>3.9</v>
      </c>
      <c r="O30" s="5" t="s">
        <v>19</v>
      </c>
      <c r="P30" s="2">
        <v>1.8390804597701149</v>
      </c>
      <c r="Q30" s="2">
        <v>2.9090909090909092</v>
      </c>
      <c r="R30" s="2">
        <v>4.7481713688610245</v>
      </c>
      <c r="W30" s="16" t="s">
        <v>0</v>
      </c>
      <c r="X30" s="16" t="s">
        <v>12</v>
      </c>
      <c r="Y30" s="16" t="s">
        <v>1</v>
      </c>
      <c r="Z30" s="16" t="s">
        <v>50</v>
      </c>
      <c r="AA30" s="16" t="s">
        <v>8</v>
      </c>
      <c r="AB30" s="19">
        <f>G22</f>
        <v>2.61</v>
      </c>
      <c r="AC30" s="13">
        <f>AB24/Table131532[[#This Row],[Ex time]]</f>
        <v>0.80459770114942541</v>
      </c>
      <c r="AD30" s="15"/>
      <c r="AE30" s="15"/>
    </row>
    <row r="31" spans="1:41" x14ac:dyDescent="0.3">
      <c r="A31" t="s">
        <v>0</v>
      </c>
      <c r="B31" t="s">
        <v>13</v>
      </c>
      <c r="C31" t="s">
        <v>1</v>
      </c>
      <c r="D31" t="s">
        <v>49</v>
      </c>
      <c r="E31" t="s">
        <v>8</v>
      </c>
      <c r="G31">
        <v>4.5999999999999996</v>
      </c>
      <c r="O31" s="5" t="s">
        <v>26</v>
      </c>
      <c r="P31" s="2">
        <v>5.4672365574151272</v>
      </c>
      <c r="Q31" s="2">
        <v>7.7948051948051953</v>
      </c>
      <c r="R31" s="2">
        <v>13.262041752220323</v>
      </c>
      <c r="W31" s="12" t="s">
        <v>0</v>
      </c>
      <c r="X31" s="12" t="s">
        <v>12</v>
      </c>
      <c r="Y31" s="12" t="s">
        <v>1</v>
      </c>
      <c r="Z31" s="12" t="s">
        <v>47</v>
      </c>
      <c r="AA31" s="12" t="s">
        <v>9</v>
      </c>
      <c r="AB31" s="13">
        <f>G11</f>
        <v>6.76</v>
      </c>
      <c r="AC31" s="13">
        <f>AB9/Table131532[[#This Row],[Ex time]]</f>
        <v>0.38461538461538464</v>
      </c>
      <c r="AD31" s="15"/>
      <c r="AE31" s="15"/>
    </row>
    <row r="32" spans="1:41" x14ac:dyDescent="0.3">
      <c r="A32" t="s">
        <v>0</v>
      </c>
      <c r="B32" t="s">
        <v>13</v>
      </c>
      <c r="C32" t="s">
        <v>1</v>
      </c>
      <c r="D32" t="s">
        <v>50</v>
      </c>
      <c r="E32" t="s">
        <v>8</v>
      </c>
      <c r="G32">
        <v>4.8</v>
      </c>
      <c r="W32" s="12" t="s">
        <v>0</v>
      </c>
      <c r="X32" s="12" t="s">
        <v>12</v>
      </c>
      <c r="Y32" s="12" t="s">
        <v>1</v>
      </c>
      <c r="Z32" s="12" t="s">
        <v>48</v>
      </c>
      <c r="AA32" s="12" t="s">
        <v>9</v>
      </c>
      <c r="AB32" s="13">
        <f>G15</f>
        <v>5.8010000000000002</v>
      </c>
      <c r="AC32" s="13">
        <f>AB9/Table131532[[#This Row],[Ex time]]</f>
        <v>0.44819858645061195</v>
      </c>
      <c r="AD32" s="15"/>
      <c r="AE32" s="15"/>
    </row>
    <row r="33" spans="1:31" x14ac:dyDescent="0.3">
      <c r="A33" s="9" t="s">
        <v>0</v>
      </c>
      <c r="B33" s="9" t="s">
        <v>13</v>
      </c>
      <c r="C33" s="9" t="s">
        <v>1</v>
      </c>
      <c r="D33" t="s">
        <v>47</v>
      </c>
      <c r="E33" s="9" t="s">
        <v>9</v>
      </c>
      <c r="G33">
        <v>6.8</v>
      </c>
      <c r="W33" s="12" t="s">
        <v>0</v>
      </c>
      <c r="X33" s="12" t="s">
        <v>12</v>
      </c>
      <c r="Y33" s="12" t="s">
        <v>1</v>
      </c>
      <c r="Z33" s="12" t="s">
        <v>49</v>
      </c>
      <c r="AA33" s="12" t="s">
        <v>9</v>
      </c>
      <c r="AB33" s="13">
        <f>G19</f>
        <v>4.6900000000000004</v>
      </c>
      <c r="AC33" s="13">
        <f>AB9/Table131532[[#This Row],[Ex time]]</f>
        <v>0.55437100213219614</v>
      </c>
      <c r="AD33" s="15"/>
      <c r="AE33" s="15"/>
    </row>
    <row r="34" spans="1:31" x14ac:dyDescent="0.3">
      <c r="A34" s="9" t="s">
        <v>0</v>
      </c>
      <c r="B34" s="9" t="s">
        <v>13</v>
      </c>
      <c r="C34" s="9" t="s">
        <v>1</v>
      </c>
      <c r="D34" t="s">
        <v>48</v>
      </c>
      <c r="E34" s="9" t="s">
        <v>9</v>
      </c>
      <c r="G34">
        <v>6.5</v>
      </c>
      <c r="W34" s="16" t="s">
        <v>0</v>
      </c>
      <c r="X34" s="16" t="s">
        <v>12</v>
      </c>
      <c r="Y34" s="16" t="s">
        <v>1</v>
      </c>
      <c r="Z34" s="16" t="s">
        <v>50</v>
      </c>
      <c r="AA34" s="16" t="s">
        <v>9</v>
      </c>
      <c r="AB34" s="17">
        <f>G23</f>
        <v>4.13</v>
      </c>
      <c r="AC34" s="13">
        <f>AB9/Table131532[[#This Row],[Ex time]]</f>
        <v>0.6295399515738499</v>
      </c>
      <c r="AD34" s="15"/>
      <c r="AE34" s="15"/>
    </row>
    <row r="35" spans="1:31" x14ac:dyDescent="0.3">
      <c r="A35" s="9" t="s">
        <v>0</v>
      </c>
      <c r="B35" s="9" t="s">
        <v>13</v>
      </c>
      <c r="C35" s="9" t="s">
        <v>1</v>
      </c>
      <c r="D35" t="s">
        <v>49</v>
      </c>
      <c r="E35" s="9" t="s">
        <v>9</v>
      </c>
      <c r="G35">
        <v>6.1</v>
      </c>
    </row>
    <row r="36" spans="1:31" x14ac:dyDescent="0.3">
      <c r="A36" s="9" t="s">
        <v>0</v>
      </c>
      <c r="B36" s="9" t="s">
        <v>13</v>
      </c>
      <c r="C36" s="9" t="s">
        <v>1</v>
      </c>
      <c r="D36" t="s">
        <v>50</v>
      </c>
      <c r="E36" s="9" t="s">
        <v>9</v>
      </c>
      <c r="G36">
        <v>6.2</v>
      </c>
    </row>
    <row r="37" spans="1:31" x14ac:dyDescent="0.3">
      <c r="W37" s="4" t="s">
        <v>37</v>
      </c>
      <c r="X37" s="4" t="s">
        <v>27</v>
      </c>
    </row>
    <row r="38" spans="1:31" x14ac:dyDescent="0.3">
      <c r="W38" s="4" t="s">
        <v>25</v>
      </c>
      <c r="X38" t="s">
        <v>7</v>
      </c>
      <c r="Y38" t="s">
        <v>8</v>
      </c>
      <c r="Z38" t="s">
        <v>9</v>
      </c>
      <c r="AA38" t="s">
        <v>26</v>
      </c>
    </row>
    <row r="39" spans="1:31" x14ac:dyDescent="0.3">
      <c r="W39" s="5" t="s">
        <v>47</v>
      </c>
      <c r="X39" s="2">
        <v>1.0613197919813209</v>
      </c>
      <c r="Y39" s="2">
        <v>0.50280252550525673</v>
      </c>
      <c r="Z39" s="2">
        <v>0.38461538461538464</v>
      </c>
      <c r="AA39" s="2">
        <v>1.9487377021019623</v>
      </c>
    </row>
    <row r="40" spans="1:31" x14ac:dyDescent="0.3">
      <c r="W40" s="5" t="s">
        <v>48</v>
      </c>
      <c r="X40" s="2">
        <v>1.2380952380952381</v>
      </c>
      <c r="Y40" s="2">
        <v>0.6325301204819278</v>
      </c>
      <c r="Z40" s="2">
        <v>0.44819858645061195</v>
      </c>
      <c r="AA40" s="2">
        <v>2.3188239450277779</v>
      </c>
    </row>
    <row r="41" spans="1:31" x14ac:dyDescent="0.3">
      <c r="W41" s="5" t="s">
        <v>49</v>
      </c>
      <c r="X41" s="2">
        <v>1.2871287128712872</v>
      </c>
      <c r="Y41" s="2">
        <v>0.70469798657718119</v>
      </c>
      <c r="Z41" s="2">
        <v>0.55437100213219614</v>
      </c>
      <c r="AA41" s="2">
        <v>2.5461977015806645</v>
      </c>
    </row>
    <row r="42" spans="1:31" x14ac:dyDescent="0.3">
      <c r="W42" s="5" t="s">
        <v>50</v>
      </c>
      <c r="X42" s="2">
        <v>1.3978494623655913</v>
      </c>
      <c r="Y42" s="2">
        <v>0.80459770114942541</v>
      </c>
      <c r="Z42" s="2">
        <v>0.6295399515738499</v>
      </c>
      <c r="AA42" s="2">
        <v>2.8319871150888667</v>
      </c>
    </row>
    <row r="43" spans="1:31" x14ac:dyDescent="0.3">
      <c r="W43" s="5" t="s">
        <v>26</v>
      </c>
      <c r="X43" s="2">
        <v>4.9843932053134372</v>
      </c>
      <c r="Y43" s="2">
        <v>2.6446283337137912</v>
      </c>
      <c r="Z43" s="2">
        <v>2.0167249247720425</v>
      </c>
      <c r="AA43" s="2">
        <v>9.6457464637992718</v>
      </c>
    </row>
  </sheetData>
  <pageMargins left="0.7" right="0.7" top="0.75" bottom="0.75" header="0.3" footer="0.3"/>
  <drawing r:id="rId4"/>
  <tableParts count="8"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90F6-81E0-4BD3-BF54-30506C173B9C}">
  <dimension ref="A1:AO43"/>
  <sheetViews>
    <sheetView showGridLines="0" topLeftCell="T22" zoomScale="85" zoomScaleNormal="85" workbookViewId="0">
      <selection activeCell="AM49" sqref="AM49"/>
    </sheetView>
  </sheetViews>
  <sheetFormatPr defaultRowHeight="14.4" x14ac:dyDescent="0.3"/>
  <cols>
    <col min="1" max="1" width="12.88671875" customWidth="1"/>
    <col min="2" max="2" width="13.6640625" customWidth="1"/>
    <col min="3" max="3" width="8.33203125" customWidth="1"/>
    <col min="4" max="4" width="8.6640625" customWidth="1"/>
    <col min="5" max="5" width="12.6640625" customWidth="1"/>
    <col min="6" max="6" width="11.109375" customWidth="1"/>
    <col min="8" max="8" width="3" style="26" customWidth="1"/>
    <col min="9" max="9" width="18.5546875" bestFit="1" customWidth="1"/>
    <col min="14" max="14" width="2.88671875" style="26" customWidth="1"/>
    <col min="15" max="15" width="13.44140625" bestFit="1" customWidth="1"/>
    <col min="16" max="16" width="16.44140625" bestFit="1" customWidth="1"/>
    <col min="17" max="17" width="20.33203125" bestFit="1" customWidth="1"/>
    <col min="18" max="18" width="11.44140625" bestFit="1" customWidth="1"/>
    <col min="19" max="19" width="6.33203125" bestFit="1" customWidth="1"/>
    <col min="20" max="20" width="11.44140625" bestFit="1" customWidth="1"/>
    <col min="21" max="21" width="11.6640625" customWidth="1"/>
    <col min="22" max="22" width="4.109375" style="26" customWidth="1"/>
    <col min="23" max="23" width="16.33203125" bestFit="1" customWidth="1"/>
    <col min="24" max="24" width="16.44140625" bestFit="1" customWidth="1"/>
    <col min="25" max="26" width="4.5546875" bestFit="1" customWidth="1"/>
    <col min="27" max="27" width="11.44140625" bestFit="1" customWidth="1"/>
    <col min="28" max="28" width="8.33203125" bestFit="1" customWidth="1"/>
    <col min="29" max="30" width="4.5546875" bestFit="1" customWidth="1"/>
    <col min="31" max="31" width="11.6640625" bestFit="1" customWidth="1"/>
    <col min="32" max="32" width="8.33203125" bestFit="1" customWidth="1"/>
    <col min="33" max="33" width="4.5546875" bestFit="1" customWidth="1"/>
    <col min="34" max="34" width="4.5546875" style="26" bestFit="1" customWidth="1"/>
    <col min="35" max="35" width="13.44140625" bestFit="1" customWidth="1"/>
    <col min="36" max="36" width="16.33203125" bestFit="1" customWidth="1"/>
    <col min="37" max="38" width="4.5546875" bestFit="1" customWidth="1"/>
    <col min="39" max="39" width="11.44140625" bestFit="1" customWidth="1"/>
    <col min="40" max="40" width="4.5546875" bestFit="1" customWidth="1"/>
    <col min="41" max="41" width="7" bestFit="1" customWidth="1"/>
    <col min="42" max="42" width="11.44140625" bestFit="1" customWidth="1"/>
  </cols>
  <sheetData>
    <row r="1" spans="1:41" s="25" customFormat="1" x14ac:dyDescent="0.3">
      <c r="A1" s="24" t="s">
        <v>32</v>
      </c>
      <c r="I1" s="24" t="s">
        <v>43</v>
      </c>
      <c r="O1" s="24" t="s">
        <v>33</v>
      </c>
      <c r="W1" s="24" t="s">
        <v>36</v>
      </c>
      <c r="AI1" s="24" t="s">
        <v>39</v>
      </c>
    </row>
    <row r="2" spans="1:41" x14ac:dyDescent="0.3">
      <c r="A2" s="6" t="s">
        <v>44</v>
      </c>
      <c r="I2" s="6" t="s">
        <v>45</v>
      </c>
      <c r="O2" s="6" t="s">
        <v>45</v>
      </c>
      <c r="T2" s="28" t="s">
        <v>16</v>
      </c>
      <c r="U2" s="28">
        <v>0.2</v>
      </c>
      <c r="W2" s="27" t="s">
        <v>41</v>
      </c>
      <c r="AI2" t="s">
        <v>40</v>
      </c>
    </row>
    <row r="3" spans="1:41" x14ac:dyDescent="0.3">
      <c r="A3" s="6"/>
      <c r="I3" s="6"/>
      <c r="T3" s="28" t="s">
        <v>15</v>
      </c>
      <c r="U3" s="28">
        <v>0.8</v>
      </c>
    </row>
    <row r="4" spans="1:41" x14ac:dyDescent="0.3">
      <c r="A4" s="6"/>
      <c r="I4" s="6"/>
    </row>
    <row r="5" spans="1:41" x14ac:dyDescent="0.3">
      <c r="A5" s="6"/>
      <c r="I5" s="6"/>
      <c r="O5" s="6"/>
    </row>
    <row r="6" spans="1:41" x14ac:dyDescent="0.3">
      <c r="A6" s="6"/>
      <c r="I6" s="6"/>
    </row>
    <row r="8" spans="1:41" x14ac:dyDescent="0.3">
      <c r="A8" t="s">
        <v>6</v>
      </c>
      <c r="B8" t="s">
        <v>11</v>
      </c>
      <c r="C8" t="s">
        <v>2</v>
      </c>
      <c r="D8" t="s">
        <v>3</v>
      </c>
      <c r="E8" t="s">
        <v>4</v>
      </c>
      <c r="F8" t="s">
        <v>5</v>
      </c>
      <c r="G8" t="s">
        <v>51</v>
      </c>
      <c r="I8" t="s">
        <v>23</v>
      </c>
      <c r="J8" t="s">
        <v>17</v>
      </c>
      <c r="K8" t="s">
        <v>18</v>
      </c>
      <c r="L8" t="s">
        <v>20</v>
      </c>
      <c r="M8" t="s">
        <v>19</v>
      </c>
      <c r="O8" t="s">
        <v>23</v>
      </c>
      <c r="P8" t="s">
        <v>17</v>
      </c>
      <c r="Q8" t="s">
        <v>18</v>
      </c>
      <c r="R8" t="s">
        <v>20</v>
      </c>
      <c r="S8" t="s">
        <v>19</v>
      </c>
      <c r="W8" s="8" t="s">
        <v>6</v>
      </c>
      <c r="X8" s="8" t="s">
        <v>11</v>
      </c>
      <c r="Y8" s="8" t="s">
        <v>2</v>
      </c>
      <c r="Z8" s="8" t="s">
        <v>3</v>
      </c>
      <c r="AA8" s="8" t="s">
        <v>4</v>
      </c>
      <c r="AB8" s="8" t="s">
        <v>35</v>
      </c>
      <c r="AI8" s="20" t="s">
        <v>6</v>
      </c>
      <c r="AJ8" s="21" t="s">
        <v>11</v>
      </c>
      <c r="AK8" s="21" t="s">
        <v>2</v>
      </c>
      <c r="AL8" s="21" t="s">
        <v>3</v>
      </c>
      <c r="AM8" s="21" t="s">
        <v>4</v>
      </c>
      <c r="AN8" s="21" t="s">
        <v>35</v>
      </c>
    </row>
    <row r="9" spans="1:41" x14ac:dyDescent="0.3">
      <c r="A9" t="s">
        <v>55</v>
      </c>
      <c r="B9" t="s">
        <v>12</v>
      </c>
      <c r="C9" t="s">
        <v>1</v>
      </c>
      <c r="D9" t="s">
        <v>47</v>
      </c>
      <c r="E9" t="s">
        <v>7</v>
      </c>
      <c r="G9" s="2">
        <v>1.96</v>
      </c>
      <c r="I9" t="s">
        <v>13</v>
      </c>
      <c r="J9" s="1">
        <f>G29</f>
        <v>2.8605900000000002</v>
      </c>
      <c r="K9" s="1">
        <f>G30</f>
        <v>3.2898299999999998</v>
      </c>
      <c r="L9" s="1">
        <f>G31</f>
        <v>3.2822200000000001</v>
      </c>
      <c r="M9" s="1">
        <f>G32</f>
        <v>3.2486100000000002</v>
      </c>
      <c r="O9" t="s">
        <v>22</v>
      </c>
      <c r="P9" s="2">
        <f>1/(U2+U3/1)</f>
        <v>1</v>
      </c>
      <c r="Q9" s="2">
        <f>1/(U2+U3/2)</f>
        <v>1.6666666666666665</v>
      </c>
      <c r="R9" s="2">
        <f>1/(U2+U3/4)</f>
        <v>2.5</v>
      </c>
      <c r="S9" s="2">
        <f>1/(U2+U3/8)</f>
        <v>3.333333333333333</v>
      </c>
      <c r="W9" s="9" t="s">
        <v>0</v>
      </c>
      <c r="X9" s="9" t="s">
        <v>13</v>
      </c>
      <c r="Y9" s="9" t="s">
        <v>1</v>
      </c>
      <c r="Z9" s="9">
        <v>1</v>
      </c>
      <c r="AA9" s="9" t="s">
        <v>7</v>
      </c>
      <c r="AB9" s="15">
        <f t="shared" ref="AB9:AB20" si="0">G25</f>
        <v>1.8032900000000001</v>
      </c>
      <c r="AI9" s="12" t="s">
        <v>0</v>
      </c>
      <c r="AJ9" s="12" t="s">
        <v>13</v>
      </c>
      <c r="AK9" s="12" t="s">
        <v>1</v>
      </c>
      <c r="AL9" s="12">
        <v>1</v>
      </c>
      <c r="AM9" s="12" t="s">
        <v>7</v>
      </c>
      <c r="AN9" s="22">
        <f t="shared" ref="AN9" si="1">G25</f>
        <v>1.8032900000000001</v>
      </c>
    </row>
    <row r="10" spans="1:41" x14ac:dyDescent="0.3">
      <c r="A10" t="s">
        <v>55</v>
      </c>
      <c r="B10" t="s">
        <v>12</v>
      </c>
      <c r="C10" t="s">
        <v>1</v>
      </c>
      <c r="D10" t="s">
        <v>47</v>
      </c>
      <c r="E10" t="s">
        <v>8</v>
      </c>
      <c r="G10" s="2">
        <v>2.99</v>
      </c>
      <c r="I10" t="s">
        <v>38</v>
      </c>
      <c r="J10" s="2">
        <f>Table3671062036[[#This Row],[Time]]</f>
        <v>2.99</v>
      </c>
      <c r="K10" s="2">
        <f>G14</f>
        <v>3.13</v>
      </c>
      <c r="L10" s="2">
        <f>G18</f>
        <v>2.95</v>
      </c>
      <c r="M10" s="2">
        <f>G22</f>
        <v>1.99</v>
      </c>
      <c r="O10" t="s">
        <v>24</v>
      </c>
      <c r="P10" s="2">
        <f>J9/Table71172137[[#This Row],[core 1]]</f>
        <v>0.95671906354515046</v>
      </c>
      <c r="Q10" s="2">
        <f>K9/Table71172137[[#This Row],[core 2]]</f>
        <v>1.0510638977635782</v>
      </c>
      <c r="R10" s="2">
        <f>L9/Table71172137[[#This Row],[core 4]]</f>
        <v>1.1126169491525424</v>
      </c>
      <c r="S10" s="2">
        <f>M9/Table71172137[[#This Row],[core 8]]</f>
        <v>1.6324673366834173</v>
      </c>
      <c r="W10" s="9" t="s">
        <v>0</v>
      </c>
      <c r="X10" s="9" t="s">
        <v>13</v>
      </c>
      <c r="Y10" s="9" t="s">
        <v>1</v>
      </c>
      <c r="Z10" s="9">
        <v>2</v>
      </c>
      <c r="AA10" s="9" t="s">
        <v>7</v>
      </c>
      <c r="AB10" s="15">
        <f t="shared" si="0"/>
        <v>2.1642100000000002</v>
      </c>
      <c r="AI10" s="12" t="s">
        <v>0</v>
      </c>
      <c r="AJ10" s="12" t="s">
        <v>13</v>
      </c>
      <c r="AK10" s="12" t="s">
        <v>1</v>
      </c>
      <c r="AL10" s="12">
        <v>1</v>
      </c>
      <c r="AM10" s="12" t="s">
        <v>8</v>
      </c>
      <c r="AN10" s="22">
        <f>G29</f>
        <v>2.8605900000000002</v>
      </c>
    </row>
    <row r="11" spans="1:41" x14ac:dyDescent="0.3">
      <c r="A11" t="s">
        <v>55</v>
      </c>
      <c r="B11" t="s">
        <v>12</v>
      </c>
      <c r="C11" t="s">
        <v>1</v>
      </c>
      <c r="D11" t="s">
        <v>47</v>
      </c>
      <c r="E11" t="s">
        <v>9</v>
      </c>
      <c r="G11" s="2">
        <v>5.23</v>
      </c>
      <c r="W11" s="9" t="s">
        <v>0</v>
      </c>
      <c r="X11" s="9" t="s">
        <v>13</v>
      </c>
      <c r="Y11" s="9" t="s">
        <v>1</v>
      </c>
      <c r="Z11" s="9">
        <v>4</v>
      </c>
      <c r="AA11" s="9" t="s">
        <v>7</v>
      </c>
      <c r="AB11" s="15">
        <f t="shared" si="0"/>
        <v>2.0835300000000001</v>
      </c>
      <c r="AI11" s="16" t="s">
        <v>0</v>
      </c>
      <c r="AJ11" s="16" t="s">
        <v>13</v>
      </c>
      <c r="AK11" s="16" t="s">
        <v>1</v>
      </c>
      <c r="AL11" s="16">
        <v>1</v>
      </c>
      <c r="AM11" s="16" t="s">
        <v>9</v>
      </c>
      <c r="AN11" s="23">
        <f>G33</f>
        <v>5.0929599999999997</v>
      </c>
    </row>
    <row r="12" spans="1:41" x14ac:dyDescent="0.3">
      <c r="A12" t="s">
        <v>55</v>
      </c>
      <c r="B12" s="30" t="s">
        <v>12</v>
      </c>
      <c r="C12" s="30" t="s">
        <v>1</v>
      </c>
      <c r="D12" s="30" t="s">
        <v>47</v>
      </c>
      <c r="E12" s="30" t="s">
        <v>10</v>
      </c>
      <c r="F12" s="30"/>
      <c r="G12" s="33"/>
      <c r="J12" s="2"/>
      <c r="K12" s="2"/>
      <c r="L12" s="2"/>
      <c r="M12" s="2"/>
      <c r="W12" s="9" t="s">
        <v>0</v>
      </c>
      <c r="X12" s="9" t="s">
        <v>13</v>
      </c>
      <c r="Y12" s="9" t="s">
        <v>1</v>
      </c>
      <c r="Z12" s="9">
        <v>8</v>
      </c>
      <c r="AA12" s="9" t="s">
        <v>7</v>
      </c>
      <c r="AB12" s="15">
        <f t="shared" si="0"/>
        <v>2.1905600000000001</v>
      </c>
    </row>
    <row r="13" spans="1:41" x14ac:dyDescent="0.3">
      <c r="A13" t="s">
        <v>55</v>
      </c>
      <c r="B13" t="s">
        <v>12</v>
      </c>
      <c r="C13" t="s">
        <v>1</v>
      </c>
      <c r="D13" t="s">
        <v>48</v>
      </c>
      <c r="E13" t="s">
        <v>7</v>
      </c>
      <c r="G13" s="2">
        <v>2.0299999999999998</v>
      </c>
      <c r="O13" s="6" t="s">
        <v>34</v>
      </c>
      <c r="W13" s="9" t="s">
        <v>0</v>
      </c>
      <c r="X13" s="9" t="s">
        <v>13</v>
      </c>
      <c r="Y13" s="9" t="s">
        <v>1</v>
      </c>
      <c r="Z13" s="9">
        <v>1</v>
      </c>
      <c r="AA13" s="9" t="s">
        <v>8</v>
      </c>
      <c r="AB13" s="15">
        <f t="shared" si="0"/>
        <v>2.8605900000000002</v>
      </c>
    </row>
    <row r="14" spans="1:41" x14ac:dyDescent="0.3">
      <c r="A14" t="s">
        <v>55</v>
      </c>
      <c r="B14" t="s">
        <v>12</v>
      </c>
      <c r="C14" t="s">
        <v>1</v>
      </c>
      <c r="D14" t="s">
        <v>48</v>
      </c>
      <c r="E14" t="s">
        <v>8</v>
      </c>
      <c r="G14" s="2">
        <v>3.13</v>
      </c>
      <c r="O14" t="s">
        <v>21</v>
      </c>
      <c r="P14" t="s">
        <v>51</v>
      </c>
      <c r="Q14" t="s">
        <v>52</v>
      </c>
      <c r="R14" t="s">
        <v>53</v>
      </c>
      <c r="W14" s="9" t="s">
        <v>0</v>
      </c>
      <c r="X14" s="9" t="s">
        <v>13</v>
      </c>
      <c r="Y14" s="9" t="s">
        <v>1</v>
      </c>
      <c r="Z14" s="9">
        <v>2</v>
      </c>
      <c r="AA14" s="9" t="s">
        <v>8</v>
      </c>
      <c r="AB14" s="15">
        <f t="shared" si="0"/>
        <v>3.2898299999999998</v>
      </c>
      <c r="AI14" s="11" t="s">
        <v>6</v>
      </c>
      <c r="AJ14" s="11" t="s">
        <v>11</v>
      </c>
      <c r="AK14" s="11" t="s">
        <v>2</v>
      </c>
      <c r="AL14" s="11" t="s">
        <v>3</v>
      </c>
      <c r="AM14" s="11" t="s">
        <v>4</v>
      </c>
      <c r="AN14" s="11" t="s">
        <v>35</v>
      </c>
      <c r="AO14" s="11" t="s">
        <v>42</v>
      </c>
    </row>
    <row r="15" spans="1:41" x14ac:dyDescent="0.3">
      <c r="A15" t="s">
        <v>55</v>
      </c>
      <c r="B15" t="s">
        <v>12</v>
      </c>
      <c r="C15" t="s">
        <v>1</v>
      </c>
      <c r="D15" t="s">
        <v>48</v>
      </c>
      <c r="E15" t="s">
        <v>9</v>
      </c>
      <c r="G15" s="2">
        <v>4.82</v>
      </c>
      <c r="O15" t="s">
        <v>30</v>
      </c>
      <c r="P15" s="2">
        <f>P9</f>
        <v>1</v>
      </c>
      <c r="Q15" t="s">
        <v>17</v>
      </c>
      <c r="R15" t="s">
        <v>8</v>
      </c>
      <c r="W15" s="9" t="s">
        <v>0</v>
      </c>
      <c r="X15" s="9" t="s">
        <v>13</v>
      </c>
      <c r="Y15" s="9" t="s">
        <v>1</v>
      </c>
      <c r="Z15" s="9">
        <v>4</v>
      </c>
      <c r="AA15" s="9" t="s">
        <v>8</v>
      </c>
      <c r="AB15" s="15">
        <f t="shared" si="0"/>
        <v>3.2822200000000001</v>
      </c>
      <c r="AI15" s="12" t="s">
        <v>0</v>
      </c>
      <c r="AJ15" s="12" t="s">
        <v>12</v>
      </c>
      <c r="AK15" s="12" t="s">
        <v>1</v>
      </c>
      <c r="AL15" s="12" t="s">
        <v>48</v>
      </c>
      <c r="AM15" s="12" t="s">
        <v>7</v>
      </c>
      <c r="AN15" s="13">
        <f t="shared" ref="AN15:AN17" si="2">G21</f>
        <v>1.82</v>
      </c>
      <c r="AO15" s="14">
        <f>AN9/Table132162541[[#This Row],[Ex time]]</f>
        <v>0.99081868131868134</v>
      </c>
    </row>
    <row r="16" spans="1:41" x14ac:dyDescent="0.3">
      <c r="A16" t="s">
        <v>55</v>
      </c>
      <c r="B16" s="30" t="s">
        <v>12</v>
      </c>
      <c r="C16" s="30" t="s">
        <v>1</v>
      </c>
      <c r="D16" s="30" t="s">
        <v>48</v>
      </c>
      <c r="E16" s="30" t="s">
        <v>10</v>
      </c>
      <c r="F16" s="30"/>
      <c r="G16" s="33"/>
      <c r="O16" t="s">
        <v>30</v>
      </c>
      <c r="P16" s="2">
        <f>Q9</f>
        <v>1.6666666666666665</v>
      </c>
      <c r="Q16" t="s">
        <v>18</v>
      </c>
      <c r="R16" t="s">
        <v>8</v>
      </c>
      <c r="W16" s="9" t="s">
        <v>0</v>
      </c>
      <c r="X16" s="9" t="s">
        <v>13</v>
      </c>
      <c r="Y16" s="9" t="s">
        <v>1</v>
      </c>
      <c r="Z16" s="9">
        <v>8</v>
      </c>
      <c r="AA16" s="9" t="s">
        <v>8</v>
      </c>
      <c r="AB16" s="15">
        <f t="shared" si="0"/>
        <v>3.2486100000000002</v>
      </c>
      <c r="AI16" s="12" t="s">
        <v>0</v>
      </c>
      <c r="AJ16" s="12" t="s">
        <v>12</v>
      </c>
      <c r="AK16" s="12" t="s">
        <v>1</v>
      </c>
      <c r="AL16" s="12" t="s">
        <v>49</v>
      </c>
      <c r="AM16" s="12" t="s">
        <v>8</v>
      </c>
      <c r="AN16" s="18">
        <f t="shared" si="2"/>
        <v>1.99</v>
      </c>
      <c r="AO16" s="13">
        <f>AN10/Table132162541[[#This Row],[Ex time]]</f>
        <v>1.4374824120603016</v>
      </c>
    </row>
    <row r="17" spans="1:41" x14ac:dyDescent="0.3">
      <c r="A17" t="s">
        <v>55</v>
      </c>
      <c r="B17" t="s">
        <v>12</v>
      </c>
      <c r="C17" t="s">
        <v>1</v>
      </c>
      <c r="D17" t="s">
        <v>49</v>
      </c>
      <c r="E17" t="s">
        <v>7</v>
      </c>
      <c r="G17" s="2">
        <v>1.99</v>
      </c>
      <c r="O17" t="s">
        <v>30</v>
      </c>
      <c r="P17" s="2">
        <f>R9</f>
        <v>2.5</v>
      </c>
      <c r="Q17" t="s">
        <v>20</v>
      </c>
      <c r="R17" t="s">
        <v>8</v>
      </c>
      <c r="W17" s="9" t="s">
        <v>0</v>
      </c>
      <c r="X17" s="9" t="s">
        <v>13</v>
      </c>
      <c r="Y17" s="9" t="s">
        <v>1</v>
      </c>
      <c r="Z17" s="9">
        <v>1</v>
      </c>
      <c r="AA17" s="9" t="s">
        <v>9</v>
      </c>
      <c r="AB17" s="15">
        <f t="shared" si="0"/>
        <v>5.0929599999999997</v>
      </c>
      <c r="AI17" s="16" t="s">
        <v>0</v>
      </c>
      <c r="AJ17" s="16" t="s">
        <v>12</v>
      </c>
      <c r="AK17" s="16" t="s">
        <v>1</v>
      </c>
      <c r="AL17" s="16" t="s">
        <v>50</v>
      </c>
      <c r="AM17" s="16" t="s">
        <v>9</v>
      </c>
      <c r="AN17" s="17">
        <f t="shared" si="2"/>
        <v>4.01</v>
      </c>
      <c r="AO17" s="13">
        <f>AN11/Table132162541[[#This Row],[Ex time]]</f>
        <v>1.2700648379052368</v>
      </c>
    </row>
    <row r="18" spans="1:41" x14ac:dyDescent="0.3">
      <c r="A18" t="s">
        <v>55</v>
      </c>
      <c r="B18" t="s">
        <v>12</v>
      </c>
      <c r="C18" t="s">
        <v>1</v>
      </c>
      <c r="D18" t="s">
        <v>49</v>
      </c>
      <c r="E18" t="s">
        <v>8</v>
      </c>
      <c r="G18" s="2">
        <v>2.95</v>
      </c>
      <c r="O18" t="s">
        <v>30</v>
      </c>
      <c r="P18" s="2">
        <f>S9</f>
        <v>3.333333333333333</v>
      </c>
      <c r="Q18" t="s">
        <v>19</v>
      </c>
      <c r="R18" t="s">
        <v>8</v>
      </c>
      <c r="W18" s="9" t="s">
        <v>0</v>
      </c>
      <c r="X18" s="9" t="s">
        <v>13</v>
      </c>
      <c r="Y18" s="9" t="s">
        <v>1</v>
      </c>
      <c r="Z18" s="9">
        <v>2</v>
      </c>
      <c r="AA18" s="9" t="s">
        <v>9</v>
      </c>
      <c r="AB18" s="15">
        <f t="shared" si="0"/>
        <v>5.28078</v>
      </c>
    </row>
    <row r="19" spans="1:41" x14ac:dyDescent="0.3">
      <c r="A19" t="s">
        <v>55</v>
      </c>
      <c r="B19" t="s">
        <v>12</v>
      </c>
      <c r="C19" t="s">
        <v>1</v>
      </c>
      <c r="D19" t="s">
        <v>49</v>
      </c>
      <c r="E19" t="s">
        <v>9</v>
      </c>
      <c r="G19" s="2">
        <v>4.16</v>
      </c>
      <c r="O19" t="s">
        <v>24</v>
      </c>
      <c r="P19" s="2">
        <f>P10</f>
        <v>0.95671906354515046</v>
      </c>
      <c r="Q19" t="s">
        <v>17</v>
      </c>
      <c r="R19" t="s">
        <v>8</v>
      </c>
      <c r="W19" s="9" t="s">
        <v>0</v>
      </c>
      <c r="X19" s="9" t="s">
        <v>13</v>
      </c>
      <c r="Y19" s="9" t="s">
        <v>1</v>
      </c>
      <c r="Z19" s="9">
        <v>4</v>
      </c>
      <c r="AA19" s="9" t="s">
        <v>9</v>
      </c>
      <c r="AB19" s="15">
        <f t="shared" si="0"/>
        <v>5.11111</v>
      </c>
    </row>
    <row r="20" spans="1:41" x14ac:dyDescent="0.3">
      <c r="A20" t="s">
        <v>55</v>
      </c>
      <c r="B20" s="30" t="s">
        <v>12</v>
      </c>
      <c r="C20" s="30" t="s">
        <v>1</v>
      </c>
      <c r="D20" s="30" t="s">
        <v>49</v>
      </c>
      <c r="E20" s="30" t="s">
        <v>10</v>
      </c>
      <c r="F20" s="30"/>
      <c r="G20" s="33"/>
      <c r="O20" t="s">
        <v>24</v>
      </c>
      <c r="P20" s="2">
        <f>Q10</f>
        <v>1.0510638977635782</v>
      </c>
      <c r="Q20" t="s">
        <v>18</v>
      </c>
      <c r="R20" t="s">
        <v>8</v>
      </c>
      <c r="W20" s="9" t="s">
        <v>0</v>
      </c>
      <c r="X20" s="9" t="s">
        <v>13</v>
      </c>
      <c r="Y20" s="9" t="s">
        <v>1</v>
      </c>
      <c r="Z20" s="9">
        <v>8</v>
      </c>
      <c r="AA20" s="9" t="s">
        <v>9</v>
      </c>
      <c r="AB20" s="15">
        <f t="shared" si="0"/>
        <v>5.3014000000000001</v>
      </c>
      <c r="AI20" t="s">
        <v>25</v>
      </c>
      <c r="AJ20" t="s">
        <v>46</v>
      </c>
    </row>
    <row r="21" spans="1:41" x14ac:dyDescent="0.3">
      <c r="A21" t="s">
        <v>55</v>
      </c>
      <c r="B21" t="s">
        <v>12</v>
      </c>
      <c r="C21" t="s">
        <v>1</v>
      </c>
      <c r="D21" t="s">
        <v>50</v>
      </c>
      <c r="E21" t="s">
        <v>7</v>
      </c>
      <c r="G21" s="2">
        <v>1.82</v>
      </c>
      <c r="O21" t="s">
        <v>24</v>
      </c>
      <c r="P21" s="2">
        <f>R10</f>
        <v>1.1126169491525424</v>
      </c>
      <c r="Q21" t="s">
        <v>20</v>
      </c>
      <c r="R21" t="s">
        <v>8</v>
      </c>
      <c r="AI21" s="5" t="s">
        <v>48</v>
      </c>
      <c r="AJ21" s="2">
        <v>0.63151240934193886</v>
      </c>
    </row>
    <row r="22" spans="1:41" x14ac:dyDescent="0.3">
      <c r="A22" t="s">
        <v>55</v>
      </c>
      <c r="B22" t="s">
        <v>12</v>
      </c>
      <c r="C22" t="s">
        <v>1</v>
      </c>
      <c r="D22" t="s">
        <v>50</v>
      </c>
      <c r="E22" t="s">
        <v>8</v>
      </c>
      <c r="G22" s="2">
        <v>1.99</v>
      </c>
      <c r="L22" s="2"/>
      <c r="M22" s="3"/>
      <c r="O22" t="s">
        <v>24</v>
      </c>
      <c r="P22" s="2">
        <f>S10</f>
        <v>1.6324673366834173</v>
      </c>
      <c r="Q22" t="s">
        <v>19</v>
      </c>
      <c r="R22" t="s">
        <v>8</v>
      </c>
      <c r="W22" s="11" t="s">
        <v>6</v>
      </c>
      <c r="X22" s="11" t="s">
        <v>11</v>
      </c>
      <c r="Y22" s="11" t="s">
        <v>2</v>
      </c>
      <c r="Z22" s="11" t="s">
        <v>3</v>
      </c>
      <c r="AA22" s="11" t="s">
        <v>4</v>
      </c>
      <c r="AB22" s="11" t="s">
        <v>35</v>
      </c>
      <c r="AC22" s="11" t="s">
        <v>21</v>
      </c>
      <c r="AD22" s="8"/>
      <c r="AE22" s="8"/>
      <c r="AI22" s="29" t="s">
        <v>7</v>
      </c>
      <c r="AJ22" s="2">
        <v>0.63151240934193886</v>
      </c>
    </row>
    <row r="23" spans="1:41" x14ac:dyDescent="0.3">
      <c r="A23" t="s">
        <v>55</v>
      </c>
      <c r="B23" t="s">
        <v>12</v>
      </c>
      <c r="C23" t="s">
        <v>1</v>
      </c>
      <c r="D23" t="s">
        <v>50</v>
      </c>
      <c r="E23" t="s">
        <v>9</v>
      </c>
      <c r="G23" s="2">
        <v>4.01</v>
      </c>
      <c r="L23" s="2"/>
      <c r="M23" s="2"/>
      <c r="W23" s="12" t="s">
        <v>0</v>
      </c>
      <c r="X23" s="12" t="s">
        <v>12</v>
      </c>
      <c r="Y23" s="12" t="s">
        <v>1</v>
      </c>
      <c r="Z23" s="12" t="s">
        <v>47</v>
      </c>
      <c r="AA23" s="12" t="s">
        <v>7</v>
      </c>
      <c r="AB23" s="13">
        <f t="shared" ref="AB23" si="3">G9</f>
        <v>1.96</v>
      </c>
      <c r="AC23" s="14">
        <f>AB9/Table13152440[[#This Row],[Ex time]]</f>
        <v>0.92004591836734695</v>
      </c>
      <c r="AD23" s="15"/>
      <c r="AE23" s="15"/>
      <c r="AI23" s="5" t="s">
        <v>49</v>
      </c>
      <c r="AJ23" s="2">
        <v>0.66278883871371341</v>
      </c>
    </row>
    <row r="24" spans="1:41" x14ac:dyDescent="0.3">
      <c r="A24" t="s">
        <v>55</v>
      </c>
      <c r="B24" s="30" t="s">
        <v>12</v>
      </c>
      <c r="C24" s="30" t="s">
        <v>1</v>
      </c>
      <c r="D24" s="30" t="s">
        <v>50</v>
      </c>
      <c r="E24" s="30" t="s">
        <v>10</v>
      </c>
      <c r="F24" s="30"/>
      <c r="G24" s="33"/>
      <c r="W24" s="12" t="s">
        <v>0</v>
      </c>
      <c r="X24" s="12" t="s">
        <v>12</v>
      </c>
      <c r="Y24" s="12" t="s">
        <v>1</v>
      </c>
      <c r="Z24" s="12" t="s">
        <v>48</v>
      </c>
      <c r="AA24" s="12" t="s">
        <v>7</v>
      </c>
      <c r="AB24" s="13">
        <f>G13</f>
        <v>2.0299999999999998</v>
      </c>
      <c r="AC24" s="14">
        <f>AB9/Table13152440[[#This Row],[Ex time]]</f>
        <v>0.88832019704433507</v>
      </c>
      <c r="AD24" s="15"/>
      <c r="AE24" s="15"/>
      <c r="AI24" s="29" t="s">
        <v>8</v>
      </c>
      <c r="AJ24" s="2">
        <v>0.66278883871371341</v>
      </c>
    </row>
    <row r="25" spans="1:41" x14ac:dyDescent="0.3">
      <c r="A25" t="s">
        <v>55</v>
      </c>
      <c r="B25" t="s">
        <v>13</v>
      </c>
      <c r="C25" t="s">
        <v>1</v>
      </c>
      <c r="D25" t="s">
        <v>47</v>
      </c>
      <c r="E25" t="s">
        <v>7</v>
      </c>
      <c r="G25" s="2">
        <v>1.8032900000000001</v>
      </c>
      <c r="O25" s="4" t="s">
        <v>54</v>
      </c>
      <c r="P25" s="4" t="s">
        <v>27</v>
      </c>
      <c r="W25" s="12" t="s">
        <v>0</v>
      </c>
      <c r="X25" s="12" t="s">
        <v>12</v>
      </c>
      <c r="Y25" s="12" t="s">
        <v>1</v>
      </c>
      <c r="Z25" s="12" t="s">
        <v>49</v>
      </c>
      <c r="AA25" s="12" t="s">
        <v>7</v>
      </c>
      <c r="AB25" s="15">
        <f>G17</f>
        <v>1.99</v>
      </c>
      <c r="AC25" s="13">
        <f>AB9/Table13152440[[#This Row],[Ex time]]</f>
        <v>0.90617587939698496</v>
      </c>
      <c r="AD25" s="15"/>
      <c r="AE25" s="15"/>
      <c r="AI25" s="5" t="s">
        <v>50</v>
      </c>
      <c r="AJ25" s="2">
        <v>0.7204701129165052</v>
      </c>
    </row>
    <row r="26" spans="1:41" x14ac:dyDescent="0.3">
      <c r="A26" t="s">
        <v>55</v>
      </c>
      <c r="B26" t="s">
        <v>13</v>
      </c>
      <c r="C26" t="s">
        <v>1</v>
      </c>
      <c r="D26" t="s">
        <v>48</v>
      </c>
      <c r="E26" t="s">
        <v>7</v>
      </c>
      <c r="G26" s="2">
        <v>2.1642100000000002</v>
      </c>
      <c r="O26" s="4" t="s">
        <v>25</v>
      </c>
      <c r="P26" t="s">
        <v>24</v>
      </c>
      <c r="Q26" t="s">
        <v>30</v>
      </c>
      <c r="R26" t="s">
        <v>26</v>
      </c>
      <c r="W26" s="16" t="s">
        <v>0</v>
      </c>
      <c r="X26" s="16" t="s">
        <v>12</v>
      </c>
      <c r="Y26" s="16" t="s">
        <v>1</v>
      </c>
      <c r="Z26" s="16" t="s">
        <v>50</v>
      </c>
      <c r="AA26" s="12" t="s">
        <v>7</v>
      </c>
      <c r="AB26" s="17">
        <f>G21</f>
        <v>1.82</v>
      </c>
      <c r="AC26" s="17">
        <f>AB9/Table13152440[[#This Row],[Ex time]]</f>
        <v>0.99081868131868134</v>
      </c>
      <c r="AD26" s="15"/>
      <c r="AE26" s="15"/>
      <c r="AI26" s="29" t="s">
        <v>9</v>
      </c>
      <c r="AJ26" s="2">
        <v>0.7204701129165052</v>
      </c>
    </row>
    <row r="27" spans="1:41" x14ac:dyDescent="0.3">
      <c r="A27" t="s">
        <v>55</v>
      </c>
      <c r="B27" t="s">
        <v>13</v>
      </c>
      <c r="C27" t="s">
        <v>1</v>
      </c>
      <c r="D27" t="s">
        <v>49</v>
      </c>
      <c r="E27" t="s">
        <v>7</v>
      </c>
      <c r="G27" s="2">
        <v>2.0835300000000001</v>
      </c>
      <c r="O27" s="5" t="s">
        <v>17</v>
      </c>
      <c r="P27" s="2">
        <v>0.95671906354515046</v>
      </c>
      <c r="Q27" s="2">
        <v>1</v>
      </c>
      <c r="R27" s="2">
        <v>1.9567190635451506</v>
      </c>
      <c r="W27" s="12" t="s">
        <v>0</v>
      </c>
      <c r="X27" s="12" t="s">
        <v>12</v>
      </c>
      <c r="Y27" s="12" t="s">
        <v>1</v>
      </c>
      <c r="Z27" s="12" t="s">
        <v>47</v>
      </c>
      <c r="AA27" s="12" t="s">
        <v>8</v>
      </c>
      <c r="AB27" s="18">
        <f>G10</f>
        <v>2.99</v>
      </c>
      <c r="AC27" s="13">
        <f>AB24/Table13152440[[#This Row],[Ex time]]</f>
        <v>0.67892976588628751</v>
      </c>
      <c r="AD27" s="15"/>
      <c r="AE27" s="15"/>
      <c r="AI27" s="5" t="s">
        <v>26</v>
      </c>
      <c r="AJ27" s="2">
        <v>2.0147713609721576</v>
      </c>
    </row>
    <row r="28" spans="1:41" x14ac:dyDescent="0.3">
      <c r="A28" t="s">
        <v>55</v>
      </c>
      <c r="B28" t="s">
        <v>13</v>
      </c>
      <c r="C28" t="s">
        <v>1</v>
      </c>
      <c r="D28" t="s">
        <v>50</v>
      </c>
      <c r="E28" t="s">
        <v>7</v>
      </c>
      <c r="G28" s="2">
        <v>2.1905600000000001</v>
      </c>
      <c r="O28" s="5" t="s">
        <v>18</v>
      </c>
      <c r="P28" s="2">
        <v>1.0510638977635782</v>
      </c>
      <c r="Q28" s="2">
        <v>1.6666666666666665</v>
      </c>
      <c r="R28" s="2">
        <v>2.7177305644302447</v>
      </c>
      <c r="W28" s="12" t="s">
        <v>0</v>
      </c>
      <c r="X28" s="12" t="s">
        <v>12</v>
      </c>
      <c r="Y28" s="12" t="s">
        <v>1</v>
      </c>
      <c r="Z28" s="12" t="s">
        <v>48</v>
      </c>
      <c r="AA28" s="12" t="s">
        <v>8</v>
      </c>
      <c r="AB28" s="18">
        <f>G14</f>
        <v>3.13</v>
      </c>
      <c r="AC28" s="13">
        <f>AB24/Table13152440[[#This Row],[Ex time]]</f>
        <v>0.6485623003194888</v>
      </c>
      <c r="AD28" s="15"/>
      <c r="AE28" s="15"/>
    </row>
    <row r="29" spans="1:41" x14ac:dyDescent="0.3">
      <c r="A29" t="s">
        <v>55</v>
      </c>
      <c r="B29" t="s">
        <v>13</v>
      </c>
      <c r="C29" t="s">
        <v>1</v>
      </c>
      <c r="D29" t="s">
        <v>47</v>
      </c>
      <c r="E29" t="s">
        <v>8</v>
      </c>
      <c r="G29" s="2">
        <v>2.8605900000000002</v>
      </c>
      <c r="O29" s="5" t="s">
        <v>20</v>
      </c>
      <c r="P29" s="2">
        <v>1.1126169491525424</v>
      </c>
      <c r="Q29" s="2">
        <v>2.5</v>
      </c>
      <c r="R29" s="2">
        <v>3.6126169491525424</v>
      </c>
      <c r="W29" s="12" t="s">
        <v>0</v>
      </c>
      <c r="X29" s="12" t="s">
        <v>12</v>
      </c>
      <c r="Y29" s="12" t="s">
        <v>1</v>
      </c>
      <c r="Z29" s="12" t="s">
        <v>49</v>
      </c>
      <c r="AA29" s="12" t="s">
        <v>8</v>
      </c>
      <c r="AB29" s="18">
        <f>G18</f>
        <v>2.95</v>
      </c>
      <c r="AC29" s="13">
        <f>AB24/Table13152440[[#This Row],[Ex time]]</f>
        <v>0.6881355932203389</v>
      </c>
      <c r="AD29" s="15"/>
      <c r="AE29" s="15"/>
    </row>
    <row r="30" spans="1:41" x14ac:dyDescent="0.3">
      <c r="A30" t="s">
        <v>55</v>
      </c>
      <c r="B30" t="s">
        <v>13</v>
      </c>
      <c r="C30" t="s">
        <v>1</v>
      </c>
      <c r="D30" t="s">
        <v>48</v>
      </c>
      <c r="E30" t="s">
        <v>8</v>
      </c>
      <c r="G30" s="2">
        <v>3.2898299999999998</v>
      </c>
      <c r="O30" s="5" t="s">
        <v>19</v>
      </c>
      <c r="P30" s="2">
        <v>1.6324673366834173</v>
      </c>
      <c r="Q30" s="2">
        <v>3.333333333333333</v>
      </c>
      <c r="R30" s="2">
        <v>4.9658006700167503</v>
      </c>
      <c r="W30" s="16" t="s">
        <v>0</v>
      </c>
      <c r="X30" s="16" t="s">
        <v>12</v>
      </c>
      <c r="Y30" s="16" t="s">
        <v>1</v>
      </c>
      <c r="Z30" s="16" t="s">
        <v>50</v>
      </c>
      <c r="AA30" s="16" t="s">
        <v>8</v>
      </c>
      <c r="AB30" s="19">
        <f>G22</f>
        <v>1.99</v>
      </c>
      <c r="AC30" s="13">
        <f>AB24/Table13152440[[#This Row],[Ex time]]</f>
        <v>1.0201005025125627</v>
      </c>
      <c r="AD30" s="15"/>
      <c r="AE30" s="15"/>
    </row>
    <row r="31" spans="1:41" x14ac:dyDescent="0.3">
      <c r="A31" t="s">
        <v>55</v>
      </c>
      <c r="B31" t="s">
        <v>13</v>
      </c>
      <c r="C31" t="s">
        <v>1</v>
      </c>
      <c r="D31" t="s">
        <v>49</v>
      </c>
      <c r="E31" t="s">
        <v>8</v>
      </c>
      <c r="G31" s="2">
        <v>3.2822200000000001</v>
      </c>
      <c r="O31" s="5" t="s">
        <v>26</v>
      </c>
      <c r="P31" s="2">
        <v>4.7528672471446889</v>
      </c>
      <c r="Q31" s="2">
        <v>8.5</v>
      </c>
      <c r="R31" s="2">
        <v>13.252867247144689</v>
      </c>
      <c r="W31" s="12" t="s">
        <v>0</v>
      </c>
      <c r="X31" s="12" t="s">
        <v>12</v>
      </c>
      <c r="Y31" s="12" t="s">
        <v>1</v>
      </c>
      <c r="Z31" s="12" t="s">
        <v>47</v>
      </c>
      <c r="AA31" s="12" t="s">
        <v>9</v>
      </c>
      <c r="AB31" s="13">
        <f>G11</f>
        <v>5.23</v>
      </c>
      <c r="AC31" s="13">
        <f>AB9/Table13152440[[#This Row],[Ex time]]</f>
        <v>0.34479732313575523</v>
      </c>
      <c r="AD31" s="15"/>
      <c r="AE31" s="15"/>
    </row>
    <row r="32" spans="1:41" x14ac:dyDescent="0.3">
      <c r="A32" t="s">
        <v>55</v>
      </c>
      <c r="B32" t="s">
        <v>13</v>
      </c>
      <c r="C32" t="s">
        <v>1</v>
      </c>
      <c r="D32" t="s">
        <v>50</v>
      </c>
      <c r="E32" t="s">
        <v>8</v>
      </c>
      <c r="G32" s="2">
        <v>3.2486100000000002</v>
      </c>
      <c r="W32" s="12" t="s">
        <v>0</v>
      </c>
      <c r="X32" s="12" t="s">
        <v>12</v>
      </c>
      <c r="Y32" s="12" t="s">
        <v>1</v>
      </c>
      <c r="Z32" s="12" t="s">
        <v>48</v>
      </c>
      <c r="AA32" s="12" t="s">
        <v>9</v>
      </c>
      <c r="AB32" s="13">
        <f>G15</f>
        <v>4.82</v>
      </c>
      <c r="AC32" s="13">
        <f>AB9/Table13152440[[#This Row],[Ex time]]</f>
        <v>0.3741265560165975</v>
      </c>
      <c r="AD32" s="15"/>
      <c r="AE32" s="15"/>
    </row>
    <row r="33" spans="1:31" x14ac:dyDescent="0.3">
      <c r="A33" t="s">
        <v>55</v>
      </c>
      <c r="B33" s="9" t="s">
        <v>13</v>
      </c>
      <c r="C33" s="9" t="s">
        <v>1</v>
      </c>
      <c r="D33" t="s">
        <v>47</v>
      </c>
      <c r="E33" s="9" t="s">
        <v>9</v>
      </c>
      <c r="G33" s="2">
        <v>5.0929599999999997</v>
      </c>
      <c r="W33" s="12" t="s">
        <v>0</v>
      </c>
      <c r="X33" s="12" t="s">
        <v>12</v>
      </c>
      <c r="Y33" s="12" t="s">
        <v>1</v>
      </c>
      <c r="Z33" s="12" t="s">
        <v>49</v>
      </c>
      <c r="AA33" s="12" t="s">
        <v>9</v>
      </c>
      <c r="AB33" s="13">
        <f>G19</f>
        <v>4.16</v>
      </c>
      <c r="AC33" s="13">
        <f>AB9/Table13152440[[#This Row],[Ex time]]</f>
        <v>0.43348317307692308</v>
      </c>
      <c r="AD33" s="15"/>
      <c r="AE33" s="15"/>
    </row>
    <row r="34" spans="1:31" x14ac:dyDescent="0.3">
      <c r="A34" t="s">
        <v>55</v>
      </c>
      <c r="B34" s="9" t="s">
        <v>13</v>
      </c>
      <c r="C34" s="9" t="s">
        <v>1</v>
      </c>
      <c r="D34" t="s">
        <v>48</v>
      </c>
      <c r="E34" s="9" t="s">
        <v>9</v>
      </c>
      <c r="G34" s="2">
        <v>5.28078</v>
      </c>
      <c r="W34" s="16" t="s">
        <v>0</v>
      </c>
      <c r="X34" s="16" t="s">
        <v>12</v>
      </c>
      <c r="Y34" s="16" t="s">
        <v>1</v>
      </c>
      <c r="Z34" s="16" t="s">
        <v>50</v>
      </c>
      <c r="AA34" s="16" t="s">
        <v>9</v>
      </c>
      <c r="AB34" s="17">
        <f>G23</f>
        <v>4.01</v>
      </c>
      <c r="AC34" s="13">
        <f>AB9/Table13152440[[#This Row],[Ex time]]</f>
        <v>0.44969825436408983</v>
      </c>
      <c r="AD34" s="15"/>
      <c r="AE34" s="15"/>
    </row>
    <row r="35" spans="1:31" x14ac:dyDescent="0.3">
      <c r="A35" t="s">
        <v>55</v>
      </c>
      <c r="B35" s="9" t="s">
        <v>13</v>
      </c>
      <c r="C35" s="9" t="s">
        <v>1</v>
      </c>
      <c r="D35" t="s">
        <v>49</v>
      </c>
      <c r="E35" s="9" t="s">
        <v>9</v>
      </c>
      <c r="G35" s="2">
        <v>5.11111</v>
      </c>
    </row>
    <row r="36" spans="1:31" x14ac:dyDescent="0.3">
      <c r="A36" t="s">
        <v>55</v>
      </c>
      <c r="B36" s="9" t="s">
        <v>13</v>
      </c>
      <c r="C36" s="9" t="s">
        <v>1</v>
      </c>
      <c r="D36" t="s">
        <v>50</v>
      </c>
      <c r="E36" s="9" t="s">
        <v>9</v>
      </c>
      <c r="G36" s="2">
        <v>5.3014000000000001</v>
      </c>
    </row>
    <row r="37" spans="1:31" x14ac:dyDescent="0.3">
      <c r="W37" t="s">
        <v>37</v>
      </c>
      <c r="X37" t="s">
        <v>27</v>
      </c>
    </row>
    <row r="38" spans="1:31" x14ac:dyDescent="0.3">
      <c r="W38" t="s">
        <v>25</v>
      </c>
      <c r="X38" t="s">
        <v>7</v>
      </c>
      <c r="Y38" t="s">
        <v>8</v>
      </c>
      <c r="Z38" t="s">
        <v>9</v>
      </c>
      <c r="AA38" t="s">
        <v>26</v>
      </c>
    </row>
    <row r="39" spans="1:31" x14ac:dyDescent="0.3">
      <c r="W39" s="5" t="s">
        <v>47</v>
      </c>
      <c r="X39" s="2">
        <v>0.75895724344594517</v>
      </c>
      <c r="Y39" s="2">
        <v>0.66816310072214968</v>
      </c>
      <c r="Z39" s="2">
        <v>0.25800687049222315</v>
      </c>
      <c r="AA39" s="2">
        <v>1.685127214660318</v>
      </c>
    </row>
    <row r="40" spans="1:31" x14ac:dyDescent="0.3">
      <c r="W40" s="5" t="s">
        <v>48</v>
      </c>
      <c r="X40" s="2">
        <v>0.65955765903829056</v>
      </c>
      <c r="Y40" s="2">
        <v>0.6357077421724957</v>
      </c>
      <c r="Z40" s="2">
        <v>0.24066103746528458</v>
      </c>
      <c r="AA40" s="2">
        <v>1.5359264386760709</v>
      </c>
    </row>
    <row r="41" spans="1:31" x14ac:dyDescent="0.3">
      <c r="W41" s="5" t="s">
        <v>49</v>
      </c>
      <c r="X41" s="2">
        <v>0.71213234132625669</v>
      </c>
      <c r="Y41" s="2">
        <v>0.67404874489056321</v>
      </c>
      <c r="Z41" s="2">
        <v>0.25403710345663116</v>
      </c>
      <c r="AA41" s="2">
        <v>1.6402181896734511</v>
      </c>
    </row>
    <row r="42" spans="1:31" x14ac:dyDescent="0.3">
      <c r="W42" s="5" t="s">
        <v>50</v>
      </c>
      <c r="X42" s="2">
        <v>0.63151240934193886</v>
      </c>
      <c r="Y42" s="2">
        <v>0.63347922492869535</v>
      </c>
      <c r="Z42" s="2">
        <v>0.25510048182612954</v>
      </c>
      <c r="AA42" s="2">
        <v>1.5200921160967638</v>
      </c>
    </row>
    <row r="43" spans="1:31" x14ac:dyDescent="0.3">
      <c r="W43" s="5" t="s">
        <v>26</v>
      </c>
      <c r="X43" s="2">
        <v>2.7621596531524313</v>
      </c>
      <c r="Y43" s="2">
        <v>2.6113988127139041</v>
      </c>
      <c r="Z43" s="2">
        <v>1.0078054932402685</v>
      </c>
      <c r="AA43" s="2">
        <v>6.3813639591066043</v>
      </c>
    </row>
  </sheetData>
  <pageMargins left="0.7" right="0.7" top="0.75" bottom="0.75" header="0.3" footer="0.3"/>
  <drawing r:id="rId4"/>
  <tableParts count="8"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8679-600A-4281-9547-1E304B5CBCB8}">
  <dimension ref="A1:AO43"/>
  <sheetViews>
    <sheetView showGridLines="0" topLeftCell="K33" zoomScale="85" zoomScaleNormal="85" workbookViewId="0">
      <selection activeCell="AM49" sqref="AM49"/>
    </sheetView>
  </sheetViews>
  <sheetFormatPr defaultRowHeight="14.4" x14ac:dyDescent="0.3"/>
  <cols>
    <col min="1" max="1" width="12.88671875" customWidth="1"/>
    <col min="2" max="2" width="13.6640625" customWidth="1"/>
    <col min="3" max="3" width="8.33203125" customWidth="1"/>
    <col min="4" max="4" width="8.6640625" customWidth="1"/>
    <col min="5" max="5" width="12.6640625" customWidth="1"/>
    <col min="6" max="6" width="11.109375" customWidth="1"/>
    <col min="8" max="8" width="3" style="26" customWidth="1"/>
    <col min="9" max="9" width="18.5546875" bestFit="1" customWidth="1"/>
    <col min="14" max="14" width="2.88671875" style="26" customWidth="1"/>
    <col min="15" max="15" width="13.44140625" bestFit="1" customWidth="1"/>
    <col min="16" max="16" width="16.44140625" bestFit="1" customWidth="1"/>
    <col min="17" max="17" width="20.33203125" bestFit="1" customWidth="1"/>
    <col min="18" max="18" width="11.44140625" bestFit="1" customWidth="1"/>
    <col min="19" max="19" width="6.33203125" bestFit="1" customWidth="1"/>
    <col min="20" max="20" width="11.44140625" bestFit="1" customWidth="1"/>
    <col min="21" max="21" width="11.6640625" customWidth="1"/>
    <col min="22" max="22" width="4.109375" style="26" customWidth="1"/>
    <col min="23" max="23" width="16.33203125" bestFit="1" customWidth="1"/>
    <col min="24" max="24" width="16.44140625" bestFit="1" customWidth="1"/>
    <col min="25" max="26" width="4.5546875" bestFit="1" customWidth="1"/>
    <col min="27" max="28" width="11.44140625" bestFit="1" customWidth="1"/>
    <col min="29" max="31" width="9.109375" customWidth="1"/>
    <col min="32" max="33" width="7.6640625" customWidth="1"/>
    <col min="34" max="34" width="4.44140625" style="26" customWidth="1"/>
    <col min="35" max="35" width="13.44140625" bestFit="1" customWidth="1"/>
    <col min="36" max="36" width="16.33203125" bestFit="1" customWidth="1"/>
    <col min="37" max="38" width="4.5546875" bestFit="1" customWidth="1"/>
    <col min="39" max="39" width="11.44140625" bestFit="1" customWidth="1"/>
    <col min="40" max="41" width="11.33203125" customWidth="1"/>
    <col min="42" max="42" width="11.44140625" bestFit="1" customWidth="1"/>
  </cols>
  <sheetData>
    <row r="1" spans="1:41" s="25" customFormat="1" x14ac:dyDescent="0.3">
      <c r="A1" s="24" t="s">
        <v>32</v>
      </c>
      <c r="I1" s="24" t="s">
        <v>43</v>
      </c>
      <c r="O1" s="24" t="s">
        <v>33</v>
      </c>
      <c r="W1" s="24" t="s">
        <v>36</v>
      </c>
      <c r="AI1" s="24" t="s">
        <v>39</v>
      </c>
    </row>
    <row r="2" spans="1:41" x14ac:dyDescent="0.3">
      <c r="A2" s="6" t="s">
        <v>44</v>
      </c>
      <c r="I2" s="6" t="s">
        <v>45</v>
      </c>
      <c r="O2" s="6" t="s">
        <v>45</v>
      </c>
      <c r="T2" s="28" t="s">
        <v>16</v>
      </c>
      <c r="U2" s="28">
        <v>0.25</v>
      </c>
      <c r="W2" s="27" t="s">
        <v>41</v>
      </c>
      <c r="AI2" t="s">
        <v>40</v>
      </c>
    </row>
    <row r="3" spans="1:41" x14ac:dyDescent="0.3">
      <c r="A3" s="6"/>
      <c r="I3" s="6"/>
      <c r="T3" s="28" t="s">
        <v>15</v>
      </c>
      <c r="U3" s="28">
        <v>0.75</v>
      </c>
    </row>
    <row r="4" spans="1:41" x14ac:dyDescent="0.3">
      <c r="A4" s="6"/>
      <c r="I4" s="6"/>
    </row>
    <row r="5" spans="1:41" x14ac:dyDescent="0.3">
      <c r="A5" s="6"/>
      <c r="I5" s="6"/>
      <c r="O5" s="6"/>
    </row>
    <row r="6" spans="1:41" x14ac:dyDescent="0.3">
      <c r="A6" s="6"/>
      <c r="I6" s="6"/>
    </row>
    <row r="8" spans="1:41" x14ac:dyDescent="0.3">
      <c r="A8" t="s">
        <v>6</v>
      </c>
      <c r="B8" t="s">
        <v>11</v>
      </c>
      <c r="C8" t="s">
        <v>2</v>
      </c>
      <c r="D8" t="s">
        <v>3</v>
      </c>
      <c r="E8" t="s">
        <v>4</v>
      </c>
      <c r="F8" t="s">
        <v>5</v>
      </c>
      <c r="G8" t="s">
        <v>51</v>
      </c>
      <c r="I8" t="s">
        <v>23</v>
      </c>
      <c r="J8" t="s">
        <v>17</v>
      </c>
      <c r="K8" t="s">
        <v>18</v>
      </c>
      <c r="L8" t="s">
        <v>20</v>
      </c>
      <c r="M8" t="s">
        <v>19</v>
      </c>
      <c r="O8" t="s">
        <v>23</v>
      </c>
      <c r="P8" t="s">
        <v>17</v>
      </c>
      <c r="Q8" t="s">
        <v>18</v>
      </c>
      <c r="R8" t="s">
        <v>20</v>
      </c>
      <c r="S8" t="s">
        <v>19</v>
      </c>
      <c r="W8" s="8" t="s">
        <v>6</v>
      </c>
      <c r="X8" s="8" t="s">
        <v>11</v>
      </c>
      <c r="Y8" s="8" t="s">
        <v>2</v>
      </c>
      <c r="Z8" s="8" t="s">
        <v>3</v>
      </c>
      <c r="AA8" s="8" t="s">
        <v>4</v>
      </c>
      <c r="AB8" s="8" t="s">
        <v>35</v>
      </c>
      <c r="AI8" s="20" t="s">
        <v>6</v>
      </c>
      <c r="AJ8" s="21" t="s">
        <v>11</v>
      </c>
      <c r="AK8" s="21" t="s">
        <v>2</v>
      </c>
      <c r="AL8" s="21" t="s">
        <v>3</v>
      </c>
      <c r="AM8" s="21" t="s">
        <v>4</v>
      </c>
      <c r="AN8" s="21" t="s">
        <v>35</v>
      </c>
    </row>
    <row r="9" spans="1:41" x14ac:dyDescent="0.3">
      <c r="A9" t="s">
        <v>0</v>
      </c>
      <c r="B9" t="s">
        <v>12</v>
      </c>
      <c r="C9" t="s">
        <v>1</v>
      </c>
      <c r="D9" t="s">
        <v>47</v>
      </c>
      <c r="E9" t="s">
        <v>7</v>
      </c>
      <c r="G9">
        <v>2.4497800000000001</v>
      </c>
      <c r="I9" t="s">
        <v>13</v>
      </c>
      <c r="J9" s="1">
        <f>G29</f>
        <v>3.8</v>
      </c>
      <c r="K9" s="1">
        <f>G30</f>
        <v>3.9</v>
      </c>
      <c r="L9" s="1">
        <f>G31</f>
        <v>4.5999999999999996</v>
      </c>
      <c r="M9" s="1">
        <f>G32</f>
        <v>4.8</v>
      </c>
      <c r="O9" t="s">
        <v>22</v>
      </c>
      <c r="P9" s="2">
        <f>1/(U2+U3/1)</f>
        <v>1</v>
      </c>
      <c r="Q9" s="2">
        <f>1/(U2+U3/2)</f>
        <v>1.6</v>
      </c>
      <c r="R9" s="2">
        <f>1/(U2+U3/4)</f>
        <v>2.2857142857142856</v>
      </c>
      <c r="S9" s="2">
        <f>1/(U2+U3/8)</f>
        <v>2.9090909090909092</v>
      </c>
      <c r="W9" s="9" t="s">
        <v>0</v>
      </c>
      <c r="X9" s="9" t="s">
        <v>13</v>
      </c>
      <c r="Y9" s="9" t="s">
        <v>1</v>
      </c>
      <c r="Z9" s="9">
        <v>1</v>
      </c>
      <c r="AA9" s="9" t="s">
        <v>7</v>
      </c>
      <c r="AB9" s="15">
        <f t="shared" ref="AB9:AB20" si="0">G25</f>
        <v>2.6</v>
      </c>
      <c r="AI9" s="12" t="s">
        <v>0</v>
      </c>
      <c r="AJ9" s="12" t="s">
        <v>13</v>
      </c>
      <c r="AK9" s="12" t="s">
        <v>1</v>
      </c>
      <c r="AL9" s="12">
        <v>1</v>
      </c>
      <c r="AM9" s="12" t="s">
        <v>7</v>
      </c>
      <c r="AN9" s="22">
        <f t="shared" ref="AN9" si="1">G25</f>
        <v>2.6</v>
      </c>
    </row>
    <row r="10" spans="1:41" x14ac:dyDescent="0.3">
      <c r="A10" t="s">
        <v>0</v>
      </c>
      <c r="B10" t="s">
        <v>12</v>
      </c>
      <c r="C10" t="s">
        <v>1</v>
      </c>
      <c r="D10" t="s">
        <v>47</v>
      </c>
      <c r="E10" t="s">
        <v>8</v>
      </c>
      <c r="G10">
        <v>4.17659</v>
      </c>
      <c r="I10" t="s">
        <v>38</v>
      </c>
      <c r="J10" s="2">
        <f>Table3671062819[[#This Row],[Time]]</f>
        <v>4.17659</v>
      </c>
      <c r="K10" s="2">
        <f>G14</f>
        <v>3.32</v>
      </c>
      <c r="L10" s="2">
        <f>G18</f>
        <v>2.98</v>
      </c>
      <c r="M10" s="2">
        <f>G22</f>
        <v>2.61</v>
      </c>
      <c r="O10" t="s">
        <v>24</v>
      </c>
      <c r="P10" s="2">
        <f>J9/Table71172944[[#This Row],[core 1]]</f>
        <v>0.90983314139046445</v>
      </c>
      <c r="Q10" s="2">
        <f>K9/Table71172944[[#This Row],[core 2]]</f>
        <v>1.1746987951807228</v>
      </c>
      <c r="R10" s="2">
        <f>L9/Table71172944[[#This Row],[core 4]]</f>
        <v>1.5436241610738255</v>
      </c>
      <c r="S10" s="2">
        <f>M9/Table71172944[[#This Row],[core 8]]</f>
        <v>1.8390804597701149</v>
      </c>
      <c r="W10" s="9" t="s">
        <v>0</v>
      </c>
      <c r="X10" s="9" t="s">
        <v>13</v>
      </c>
      <c r="Y10" s="9" t="s">
        <v>1</v>
      </c>
      <c r="Z10" s="9">
        <v>2</v>
      </c>
      <c r="AA10" s="9" t="s">
        <v>7</v>
      </c>
      <c r="AB10" s="15">
        <f t="shared" si="0"/>
        <v>2.8</v>
      </c>
      <c r="AI10" s="12" t="s">
        <v>0</v>
      </c>
      <c r="AJ10" s="12" t="s">
        <v>13</v>
      </c>
      <c r="AK10" s="12" t="s">
        <v>1</v>
      </c>
      <c r="AL10" s="12">
        <v>1</v>
      </c>
      <c r="AM10" s="12" t="s">
        <v>8</v>
      </c>
      <c r="AN10" s="22">
        <f>G29</f>
        <v>3.8</v>
      </c>
    </row>
    <row r="11" spans="1:41" x14ac:dyDescent="0.3">
      <c r="A11" t="s">
        <v>0</v>
      </c>
      <c r="B11" t="s">
        <v>12</v>
      </c>
      <c r="C11" t="s">
        <v>1</v>
      </c>
      <c r="D11" t="s">
        <v>47</v>
      </c>
      <c r="E11" t="s">
        <v>9</v>
      </c>
      <c r="G11">
        <v>6.76</v>
      </c>
      <c r="W11" s="9" t="s">
        <v>0</v>
      </c>
      <c r="X11" s="9" t="s">
        <v>13</v>
      </c>
      <c r="Y11" s="9" t="s">
        <v>1</v>
      </c>
      <c r="Z11" s="9">
        <v>4</v>
      </c>
      <c r="AA11" s="9" t="s">
        <v>7</v>
      </c>
      <c r="AB11" s="15">
        <f t="shared" si="0"/>
        <v>2.9</v>
      </c>
      <c r="AI11" s="16" t="s">
        <v>0</v>
      </c>
      <c r="AJ11" s="16" t="s">
        <v>13</v>
      </c>
      <c r="AK11" s="16" t="s">
        <v>1</v>
      </c>
      <c r="AL11" s="16">
        <v>1</v>
      </c>
      <c r="AM11" s="16" t="s">
        <v>9</v>
      </c>
      <c r="AN11" s="23">
        <f>G33</f>
        <v>6.8</v>
      </c>
    </row>
    <row r="12" spans="1:41" x14ac:dyDescent="0.3">
      <c r="A12" s="30" t="s">
        <v>0</v>
      </c>
      <c r="B12" s="30" t="s">
        <v>12</v>
      </c>
      <c r="C12" s="30" t="s">
        <v>1</v>
      </c>
      <c r="D12" s="30" t="s">
        <v>47</v>
      </c>
      <c r="E12" s="30" t="s">
        <v>10</v>
      </c>
      <c r="F12" s="30"/>
      <c r="G12" s="30"/>
      <c r="J12" s="2"/>
      <c r="K12" s="2"/>
      <c r="L12" s="2"/>
      <c r="M12" s="2"/>
      <c r="W12" s="9" t="s">
        <v>0</v>
      </c>
      <c r="X12" s="9" t="s">
        <v>13</v>
      </c>
      <c r="Y12" s="9" t="s">
        <v>1</v>
      </c>
      <c r="Z12" s="9">
        <v>8</v>
      </c>
      <c r="AA12" s="9" t="s">
        <v>7</v>
      </c>
      <c r="AB12" s="15">
        <f t="shared" si="0"/>
        <v>2.98</v>
      </c>
    </row>
    <row r="13" spans="1:41" x14ac:dyDescent="0.3">
      <c r="A13" t="s">
        <v>0</v>
      </c>
      <c r="B13" t="s">
        <v>12</v>
      </c>
      <c r="C13" t="s">
        <v>1</v>
      </c>
      <c r="D13" t="s">
        <v>48</v>
      </c>
      <c r="E13" t="s">
        <v>7</v>
      </c>
      <c r="G13">
        <v>2.1</v>
      </c>
      <c r="J13">
        <v>3.8</v>
      </c>
      <c r="O13" s="6" t="s">
        <v>34</v>
      </c>
      <c r="W13" s="9" t="s">
        <v>0</v>
      </c>
      <c r="X13" s="9" t="s">
        <v>13</v>
      </c>
      <c r="Y13" s="9" t="s">
        <v>1</v>
      </c>
      <c r="Z13" s="9">
        <v>1</v>
      </c>
      <c r="AA13" s="9" t="s">
        <v>8</v>
      </c>
      <c r="AB13" s="15">
        <f t="shared" si="0"/>
        <v>3.8</v>
      </c>
    </row>
    <row r="14" spans="1:41" x14ac:dyDescent="0.3">
      <c r="A14" t="s">
        <v>0</v>
      </c>
      <c r="B14" t="s">
        <v>12</v>
      </c>
      <c r="C14" t="s">
        <v>1</v>
      </c>
      <c r="D14" t="s">
        <v>48</v>
      </c>
      <c r="E14" t="s">
        <v>8</v>
      </c>
      <c r="G14">
        <v>3.32</v>
      </c>
      <c r="J14">
        <v>3.79</v>
      </c>
      <c r="O14" t="s">
        <v>21</v>
      </c>
      <c r="P14" t="s">
        <v>51</v>
      </c>
      <c r="Q14" t="s">
        <v>52</v>
      </c>
      <c r="R14" t="s">
        <v>53</v>
      </c>
      <c r="W14" s="9" t="s">
        <v>0</v>
      </c>
      <c r="X14" s="9" t="s">
        <v>13</v>
      </c>
      <c r="Y14" s="9" t="s">
        <v>1</v>
      </c>
      <c r="Z14" s="9">
        <v>2</v>
      </c>
      <c r="AA14" s="9" t="s">
        <v>8</v>
      </c>
      <c r="AB14" s="15">
        <f t="shared" si="0"/>
        <v>3.9</v>
      </c>
      <c r="AI14" s="11" t="s">
        <v>6</v>
      </c>
      <c r="AJ14" s="11" t="s">
        <v>11</v>
      </c>
      <c r="AK14" s="11" t="s">
        <v>2</v>
      </c>
      <c r="AL14" s="11" t="s">
        <v>3</v>
      </c>
      <c r="AM14" s="11" t="s">
        <v>4</v>
      </c>
      <c r="AN14" s="11" t="s">
        <v>35</v>
      </c>
      <c r="AO14" s="11" t="s">
        <v>42</v>
      </c>
    </row>
    <row r="15" spans="1:41" x14ac:dyDescent="0.3">
      <c r="A15" t="s">
        <v>0</v>
      </c>
      <c r="B15" t="s">
        <v>12</v>
      </c>
      <c r="C15" t="s">
        <v>1</v>
      </c>
      <c r="D15" t="s">
        <v>48</v>
      </c>
      <c r="E15" t="s">
        <v>9</v>
      </c>
      <c r="G15">
        <v>5.8010000000000002</v>
      </c>
      <c r="O15" t="s">
        <v>30</v>
      </c>
      <c r="P15" s="2">
        <f>P9</f>
        <v>1</v>
      </c>
      <c r="Q15" t="s">
        <v>17</v>
      </c>
      <c r="R15" t="s">
        <v>8</v>
      </c>
      <c r="W15" s="9" t="s">
        <v>0</v>
      </c>
      <c r="X15" s="9" t="s">
        <v>13</v>
      </c>
      <c r="Y15" s="9" t="s">
        <v>1</v>
      </c>
      <c r="Z15" s="9">
        <v>4</v>
      </c>
      <c r="AA15" s="9" t="s">
        <v>8</v>
      </c>
      <c r="AB15" s="15">
        <f t="shared" si="0"/>
        <v>4.5999999999999996</v>
      </c>
      <c r="AI15" s="12" t="s">
        <v>0</v>
      </c>
      <c r="AJ15" s="12" t="s">
        <v>12</v>
      </c>
      <c r="AK15" s="12" t="s">
        <v>1</v>
      </c>
      <c r="AL15" s="12" t="s">
        <v>48</v>
      </c>
      <c r="AM15" s="12" t="s">
        <v>7</v>
      </c>
      <c r="AN15" s="13">
        <f t="shared" ref="AN15:AN17" si="2">G21</f>
        <v>1.86</v>
      </c>
      <c r="AO15" s="14">
        <f>AN9/Table132163348[[#This Row],[Ex time]]</f>
        <v>1.3978494623655913</v>
      </c>
    </row>
    <row r="16" spans="1:41" x14ac:dyDescent="0.3">
      <c r="A16" s="30" t="s">
        <v>0</v>
      </c>
      <c r="B16" s="30" t="s">
        <v>12</v>
      </c>
      <c r="C16" s="30" t="s">
        <v>1</v>
      </c>
      <c r="D16" s="30" t="s">
        <v>48</v>
      </c>
      <c r="E16" s="30" t="s">
        <v>10</v>
      </c>
      <c r="F16" s="30"/>
      <c r="G16" s="30"/>
      <c r="J16">
        <f>J13/J14</f>
        <v>1.0026385224274406</v>
      </c>
      <c r="O16" t="s">
        <v>30</v>
      </c>
      <c r="P16" s="2">
        <f>Q9</f>
        <v>1.6</v>
      </c>
      <c r="Q16" t="s">
        <v>18</v>
      </c>
      <c r="R16" t="s">
        <v>8</v>
      </c>
      <c r="W16" s="9" t="s">
        <v>0</v>
      </c>
      <c r="X16" s="9" t="s">
        <v>13</v>
      </c>
      <c r="Y16" s="9" t="s">
        <v>1</v>
      </c>
      <c r="Z16" s="9">
        <v>8</v>
      </c>
      <c r="AA16" s="9" t="s">
        <v>8</v>
      </c>
      <c r="AB16" s="15">
        <f t="shared" si="0"/>
        <v>4.8</v>
      </c>
      <c r="AI16" s="12" t="s">
        <v>0</v>
      </c>
      <c r="AJ16" s="12" t="s">
        <v>12</v>
      </c>
      <c r="AK16" s="12" t="s">
        <v>1</v>
      </c>
      <c r="AL16" s="12" t="s">
        <v>49</v>
      </c>
      <c r="AM16" s="12" t="s">
        <v>8</v>
      </c>
      <c r="AN16" s="18">
        <f t="shared" si="2"/>
        <v>2.61</v>
      </c>
      <c r="AO16" s="13">
        <f>AN10/Table132163348[[#This Row],[Ex time]]</f>
        <v>1.4559386973180077</v>
      </c>
    </row>
    <row r="17" spans="1:41" x14ac:dyDescent="0.3">
      <c r="A17" t="s">
        <v>0</v>
      </c>
      <c r="B17" t="s">
        <v>12</v>
      </c>
      <c r="C17" t="s">
        <v>1</v>
      </c>
      <c r="D17" t="s">
        <v>49</v>
      </c>
      <c r="E17" t="s">
        <v>7</v>
      </c>
      <c r="G17">
        <v>2.02</v>
      </c>
      <c r="O17" t="s">
        <v>30</v>
      </c>
      <c r="P17" s="2">
        <f>R9</f>
        <v>2.2857142857142856</v>
      </c>
      <c r="Q17" t="s">
        <v>20</v>
      </c>
      <c r="R17" t="s">
        <v>8</v>
      </c>
      <c r="W17" s="9" t="s">
        <v>0</v>
      </c>
      <c r="X17" s="9" t="s">
        <v>13</v>
      </c>
      <c r="Y17" s="9" t="s">
        <v>1</v>
      </c>
      <c r="Z17" s="9">
        <v>1</v>
      </c>
      <c r="AA17" s="9" t="s">
        <v>9</v>
      </c>
      <c r="AB17" s="15">
        <f t="shared" si="0"/>
        <v>6.8</v>
      </c>
      <c r="AI17" s="16" t="s">
        <v>0</v>
      </c>
      <c r="AJ17" s="16" t="s">
        <v>12</v>
      </c>
      <c r="AK17" s="16" t="s">
        <v>1</v>
      </c>
      <c r="AL17" s="16" t="s">
        <v>50</v>
      </c>
      <c r="AM17" s="16" t="s">
        <v>9</v>
      </c>
      <c r="AN17" s="17">
        <f t="shared" si="2"/>
        <v>4.13</v>
      </c>
      <c r="AO17" s="13">
        <f>AN11/Table132163348[[#This Row],[Ex time]]</f>
        <v>1.6464891041162228</v>
      </c>
    </row>
    <row r="18" spans="1:41" x14ac:dyDescent="0.3">
      <c r="A18" t="s">
        <v>0</v>
      </c>
      <c r="B18" t="s">
        <v>12</v>
      </c>
      <c r="C18" t="s">
        <v>1</v>
      </c>
      <c r="D18" t="s">
        <v>49</v>
      </c>
      <c r="E18" t="s">
        <v>8</v>
      </c>
      <c r="G18">
        <v>2.98</v>
      </c>
      <c r="O18" t="s">
        <v>30</v>
      </c>
      <c r="P18" s="2">
        <f>S9</f>
        <v>2.9090909090909092</v>
      </c>
      <c r="Q18" t="s">
        <v>19</v>
      </c>
      <c r="R18" t="s">
        <v>8</v>
      </c>
      <c r="W18" s="9" t="s">
        <v>0</v>
      </c>
      <c r="X18" s="9" t="s">
        <v>13</v>
      </c>
      <c r="Y18" s="9" t="s">
        <v>1</v>
      </c>
      <c r="Z18" s="9">
        <v>2</v>
      </c>
      <c r="AA18" s="9" t="s">
        <v>9</v>
      </c>
      <c r="AB18" s="15">
        <f t="shared" si="0"/>
        <v>6.5</v>
      </c>
    </row>
    <row r="19" spans="1:41" x14ac:dyDescent="0.3">
      <c r="A19" t="s">
        <v>0</v>
      </c>
      <c r="B19" t="s">
        <v>12</v>
      </c>
      <c r="C19" t="s">
        <v>1</v>
      </c>
      <c r="D19" t="s">
        <v>49</v>
      </c>
      <c r="E19" t="s">
        <v>9</v>
      </c>
      <c r="G19">
        <v>4.6900000000000004</v>
      </c>
      <c r="O19" t="s">
        <v>24</v>
      </c>
      <c r="P19" s="2">
        <f>P10</f>
        <v>0.90983314139046445</v>
      </c>
      <c r="Q19" t="s">
        <v>17</v>
      </c>
      <c r="R19" t="s">
        <v>8</v>
      </c>
      <c r="W19" s="9" t="s">
        <v>0</v>
      </c>
      <c r="X19" s="9" t="s">
        <v>13</v>
      </c>
      <c r="Y19" s="9" t="s">
        <v>1</v>
      </c>
      <c r="Z19" s="9">
        <v>4</v>
      </c>
      <c r="AA19" s="9" t="s">
        <v>9</v>
      </c>
      <c r="AB19" s="15">
        <f t="shared" si="0"/>
        <v>6.1</v>
      </c>
    </row>
    <row r="20" spans="1:41" x14ac:dyDescent="0.3">
      <c r="A20" s="30" t="s">
        <v>0</v>
      </c>
      <c r="B20" s="30" t="s">
        <v>12</v>
      </c>
      <c r="C20" s="30" t="s">
        <v>1</v>
      </c>
      <c r="D20" s="30" t="s">
        <v>49</v>
      </c>
      <c r="E20" s="30" t="s">
        <v>10</v>
      </c>
      <c r="F20" s="30"/>
      <c r="G20" s="30"/>
      <c r="O20" t="s">
        <v>24</v>
      </c>
      <c r="P20" s="2">
        <f>Q10</f>
        <v>1.1746987951807228</v>
      </c>
      <c r="Q20" t="s">
        <v>18</v>
      </c>
      <c r="R20" t="s">
        <v>8</v>
      </c>
      <c r="W20" s="9" t="s">
        <v>0</v>
      </c>
      <c r="X20" s="9" t="s">
        <v>13</v>
      </c>
      <c r="Y20" s="9" t="s">
        <v>1</v>
      </c>
      <c r="Z20" s="9">
        <v>8</v>
      </c>
      <c r="AA20" s="9" t="s">
        <v>9</v>
      </c>
      <c r="AB20" s="15">
        <f t="shared" si="0"/>
        <v>6.2</v>
      </c>
      <c r="AI20" t="s">
        <v>25</v>
      </c>
      <c r="AJ20" t="s">
        <v>46</v>
      </c>
    </row>
    <row r="21" spans="1:41" x14ac:dyDescent="0.3">
      <c r="A21" t="s">
        <v>0</v>
      </c>
      <c r="B21" t="s">
        <v>12</v>
      </c>
      <c r="C21" t="s">
        <v>1</v>
      </c>
      <c r="D21" t="s">
        <v>50</v>
      </c>
      <c r="E21" t="s">
        <v>7</v>
      </c>
      <c r="G21">
        <v>1.86</v>
      </c>
      <c r="O21" t="s">
        <v>24</v>
      </c>
      <c r="P21" s="2">
        <f>R10</f>
        <v>1.5436241610738255</v>
      </c>
      <c r="Q21" t="s">
        <v>20</v>
      </c>
      <c r="R21" t="s">
        <v>8</v>
      </c>
      <c r="AI21" s="5" t="s">
        <v>7</v>
      </c>
      <c r="AJ21" s="2">
        <v>1.3978494623655913</v>
      </c>
    </row>
    <row r="22" spans="1:41" x14ac:dyDescent="0.3">
      <c r="A22" t="s">
        <v>0</v>
      </c>
      <c r="B22" t="s">
        <v>12</v>
      </c>
      <c r="C22" t="s">
        <v>1</v>
      </c>
      <c r="D22" t="s">
        <v>50</v>
      </c>
      <c r="E22" t="s">
        <v>8</v>
      </c>
      <c r="G22">
        <v>2.61</v>
      </c>
      <c r="L22" s="2"/>
      <c r="M22" s="3"/>
      <c r="O22" t="s">
        <v>24</v>
      </c>
      <c r="P22" s="2">
        <f>S10</f>
        <v>1.8390804597701149</v>
      </c>
      <c r="Q22" t="s">
        <v>19</v>
      </c>
      <c r="R22" t="s">
        <v>8</v>
      </c>
      <c r="W22" s="11" t="s">
        <v>6</v>
      </c>
      <c r="X22" s="11" t="s">
        <v>11</v>
      </c>
      <c r="Y22" s="11" t="s">
        <v>2</v>
      </c>
      <c r="Z22" s="11" t="s">
        <v>3</v>
      </c>
      <c r="AA22" s="11" t="s">
        <v>4</v>
      </c>
      <c r="AB22" s="11" t="s">
        <v>35</v>
      </c>
      <c r="AC22" s="11" t="s">
        <v>21</v>
      </c>
      <c r="AD22" s="8"/>
      <c r="AE22" s="8"/>
      <c r="AI22" s="29" t="s">
        <v>48</v>
      </c>
      <c r="AJ22" s="2">
        <v>1.3978494623655913</v>
      </c>
    </row>
    <row r="23" spans="1:41" x14ac:dyDescent="0.3">
      <c r="A23" t="s">
        <v>0</v>
      </c>
      <c r="B23" t="s">
        <v>12</v>
      </c>
      <c r="C23" t="s">
        <v>1</v>
      </c>
      <c r="D23" t="s">
        <v>50</v>
      </c>
      <c r="E23" t="s">
        <v>9</v>
      </c>
      <c r="G23">
        <v>4.13</v>
      </c>
      <c r="L23" s="2"/>
      <c r="M23" s="2"/>
      <c r="W23" s="12" t="s">
        <v>0</v>
      </c>
      <c r="X23" s="12" t="s">
        <v>12</v>
      </c>
      <c r="Y23" s="12" t="s">
        <v>1</v>
      </c>
      <c r="Z23" s="12" t="s">
        <v>47</v>
      </c>
      <c r="AA23" s="12" t="s">
        <v>7</v>
      </c>
      <c r="AB23" s="13">
        <f t="shared" ref="AB23" si="3">G9</f>
        <v>2.4497800000000001</v>
      </c>
      <c r="AC23" s="14">
        <f>AB9/Table13153247[[#This Row],[Ex time]]</f>
        <v>1.0613197919813209</v>
      </c>
      <c r="AD23" s="15"/>
      <c r="AE23" s="15"/>
      <c r="AI23" s="5" t="s">
        <v>8</v>
      </c>
      <c r="AJ23" s="2">
        <v>1.4559386973180077</v>
      </c>
    </row>
    <row r="24" spans="1:41" x14ac:dyDescent="0.3">
      <c r="A24" s="30" t="s">
        <v>0</v>
      </c>
      <c r="B24" s="30" t="s">
        <v>12</v>
      </c>
      <c r="C24" s="30" t="s">
        <v>1</v>
      </c>
      <c r="D24" s="30" t="s">
        <v>50</v>
      </c>
      <c r="E24" s="30" t="s">
        <v>10</v>
      </c>
      <c r="F24" s="30"/>
      <c r="G24" s="30"/>
      <c r="W24" s="12" t="s">
        <v>0</v>
      </c>
      <c r="X24" s="12" t="s">
        <v>12</v>
      </c>
      <c r="Y24" s="12" t="s">
        <v>1</v>
      </c>
      <c r="Z24" s="12" t="s">
        <v>48</v>
      </c>
      <c r="AA24" s="12" t="s">
        <v>7</v>
      </c>
      <c r="AB24" s="13">
        <f>G13</f>
        <v>2.1</v>
      </c>
      <c r="AC24" s="14">
        <f>AB9/Table13153247[[#This Row],[Ex time]]</f>
        <v>1.2380952380952381</v>
      </c>
      <c r="AD24" s="15"/>
      <c r="AE24" s="15"/>
      <c r="AI24" s="29" t="s">
        <v>49</v>
      </c>
      <c r="AJ24" s="2">
        <v>1.4559386973180077</v>
      </c>
    </row>
    <row r="25" spans="1:41" x14ac:dyDescent="0.3">
      <c r="A25" s="31" t="s">
        <v>0</v>
      </c>
      <c r="B25" s="31" t="s">
        <v>13</v>
      </c>
      <c r="C25" s="31" t="s">
        <v>1</v>
      </c>
      <c r="D25" s="31" t="s">
        <v>47</v>
      </c>
      <c r="E25" s="31" t="s">
        <v>7</v>
      </c>
      <c r="F25" s="31"/>
      <c r="G25" s="31">
        <v>2.6</v>
      </c>
      <c r="O25" t="s">
        <v>54</v>
      </c>
      <c r="P25" t="s">
        <v>27</v>
      </c>
      <c r="W25" s="12" t="s">
        <v>0</v>
      </c>
      <c r="X25" s="12" t="s">
        <v>12</v>
      </c>
      <c r="Y25" s="12" t="s">
        <v>1</v>
      </c>
      <c r="Z25" s="12" t="s">
        <v>49</v>
      </c>
      <c r="AA25" s="12" t="s">
        <v>7</v>
      </c>
      <c r="AB25" s="15">
        <f>G17</f>
        <v>2.02</v>
      </c>
      <c r="AC25" s="13">
        <f>AB9/Table13153247[[#This Row],[Ex time]]</f>
        <v>1.2871287128712872</v>
      </c>
      <c r="AD25" s="15"/>
      <c r="AE25" s="15"/>
      <c r="AI25" s="5" t="s">
        <v>9</v>
      </c>
      <c r="AJ25" s="2">
        <v>1.6464891041162228</v>
      </c>
    </row>
    <row r="26" spans="1:41" x14ac:dyDescent="0.3">
      <c r="A26" s="31" t="s">
        <v>0</v>
      </c>
      <c r="B26" s="31" t="s">
        <v>13</v>
      </c>
      <c r="C26" s="31" t="s">
        <v>1</v>
      </c>
      <c r="D26" s="31" t="s">
        <v>48</v>
      </c>
      <c r="E26" s="31" t="s">
        <v>7</v>
      </c>
      <c r="F26" s="31"/>
      <c r="G26" s="31">
        <v>2.8</v>
      </c>
      <c r="O26" t="s">
        <v>25</v>
      </c>
      <c r="P26" t="s">
        <v>24</v>
      </c>
      <c r="Q26" t="s">
        <v>30</v>
      </c>
      <c r="R26" t="s">
        <v>26</v>
      </c>
      <c r="W26" s="16" t="s">
        <v>0</v>
      </c>
      <c r="X26" s="16" t="s">
        <v>12</v>
      </c>
      <c r="Y26" s="16" t="s">
        <v>1</v>
      </c>
      <c r="Z26" s="16" t="s">
        <v>50</v>
      </c>
      <c r="AA26" s="12" t="s">
        <v>7</v>
      </c>
      <c r="AB26" s="17">
        <f>G21</f>
        <v>1.86</v>
      </c>
      <c r="AC26" s="17">
        <f>AB9/Table13153247[[#This Row],[Ex time]]</f>
        <v>1.3978494623655913</v>
      </c>
      <c r="AD26" s="15"/>
      <c r="AE26" s="15"/>
      <c r="AI26" s="29" t="s">
        <v>50</v>
      </c>
      <c r="AJ26" s="2">
        <v>1.6464891041162228</v>
      </c>
    </row>
    <row r="27" spans="1:41" x14ac:dyDescent="0.3">
      <c r="A27" s="31" t="s">
        <v>0</v>
      </c>
      <c r="B27" s="31" t="s">
        <v>13</v>
      </c>
      <c r="C27" s="31" t="s">
        <v>1</v>
      </c>
      <c r="D27" s="31" t="s">
        <v>49</v>
      </c>
      <c r="E27" s="31" t="s">
        <v>7</v>
      </c>
      <c r="F27" s="31"/>
      <c r="G27" s="31">
        <v>2.9</v>
      </c>
      <c r="O27" s="5" t="s">
        <v>17</v>
      </c>
      <c r="P27" s="2">
        <v>0.90983314139046445</v>
      </c>
      <c r="Q27" s="2">
        <v>1</v>
      </c>
      <c r="R27" s="2">
        <v>1.9098331413904646</v>
      </c>
      <c r="W27" s="12" t="s">
        <v>0</v>
      </c>
      <c r="X27" s="12" t="s">
        <v>12</v>
      </c>
      <c r="Y27" s="12" t="s">
        <v>1</v>
      </c>
      <c r="Z27" s="12" t="s">
        <v>47</v>
      </c>
      <c r="AA27" s="12" t="s">
        <v>8</v>
      </c>
      <c r="AB27" s="18">
        <f>G10</f>
        <v>4.17659</v>
      </c>
      <c r="AC27" s="13">
        <f>AB24/Table13153247[[#This Row],[Ex time]]</f>
        <v>0.50280252550525673</v>
      </c>
      <c r="AD27" s="15"/>
      <c r="AE27" s="15"/>
      <c r="AI27" s="5" t="s">
        <v>26</v>
      </c>
      <c r="AJ27" s="2">
        <v>4.5002772637998216</v>
      </c>
    </row>
    <row r="28" spans="1:41" x14ac:dyDescent="0.3">
      <c r="A28" s="31" t="s">
        <v>0</v>
      </c>
      <c r="B28" s="31" t="s">
        <v>13</v>
      </c>
      <c r="C28" s="31" t="s">
        <v>1</v>
      </c>
      <c r="D28" s="31" t="s">
        <v>50</v>
      </c>
      <c r="E28" s="31" t="s">
        <v>7</v>
      </c>
      <c r="F28" s="31"/>
      <c r="G28" s="31">
        <v>2.98</v>
      </c>
      <c r="O28" s="5" t="s">
        <v>18</v>
      </c>
      <c r="P28" s="2">
        <v>1.1746987951807228</v>
      </c>
      <c r="Q28" s="2">
        <v>1.6</v>
      </c>
      <c r="R28" s="2">
        <v>2.7746987951807229</v>
      </c>
      <c r="W28" s="12" t="s">
        <v>0</v>
      </c>
      <c r="X28" s="12" t="s">
        <v>12</v>
      </c>
      <c r="Y28" s="12" t="s">
        <v>1</v>
      </c>
      <c r="Z28" s="12" t="s">
        <v>48</v>
      </c>
      <c r="AA28" s="12" t="s">
        <v>8</v>
      </c>
      <c r="AB28" s="18">
        <f>G14</f>
        <v>3.32</v>
      </c>
      <c r="AC28" s="13">
        <f>AB24/Table13153247[[#This Row],[Ex time]]</f>
        <v>0.6325301204819278</v>
      </c>
      <c r="AD28" s="15"/>
      <c r="AE28" s="15"/>
    </row>
    <row r="29" spans="1:41" x14ac:dyDescent="0.3">
      <c r="A29" s="31" t="s">
        <v>0</v>
      </c>
      <c r="B29" s="31" t="s">
        <v>13</v>
      </c>
      <c r="C29" s="31" t="s">
        <v>1</v>
      </c>
      <c r="D29" s="31" t="s">
        <v>47</v>
      </c>
      <c r="E29" s="31" t="s">
        <v>8</v>
      </c>
      <c r="F29" s="31"/>
      <c r="G29" s="31">
        <v>3.8</v>
      </c>
      <c r="O29" s="5" t="s">
        <v>20</v>
      </c>
      <c r="P29" s="2">
        <v>1.5436241610738255</v>
      </c>
      <c r="Q29" s="2">
        <v>2.2857142857142856</v>
      </c>
      <c r="R29" s="2">
        <v>3.8293384467881113</v>
      </c>
      <c r="W29" s="12" t="s">
        <v>0</v>
      </c>
      <c r="X29" s="12" t="s">
        <v>12</v>
      </c>
      <c r="Y29" s="12" t="s">
        <v>1</v>
      </c>
      <c r="Z29" s="12" t="s">
        <v>49</v>
      </c>
      <c r="AA29" s="12" t="s">
        <v>8</v>
      </c>
      <c r="AB29" s="18">
        <f>G18</f>
        <v>2.98</v>
      </c>
      <c r="AC29" s="13">
        <f>AB24/Table13153247[[#This Row],[Ex time]]</f>
        <v>0.70469798657718119</v>
      </c>
      <c r="AD29" s="15"/>
      <c r="AE29" s="15"/>
    </row>
    <row r="30" spans="1:41" x14ac:dyDescent="0.3">
      <c r="A30" s="31" t="s">
        <v>0</v>
      </c>
      <c r="B30" s="31" t="s">
        <v>13</v>
      </c>
      <c r="C30" s="31" t="s">
        <v>1</v>
      </c>
      <c r="D30" s="31" t="s">
        <v>48</v>
      </c>
      <c r="E30" s="31" t="s">
        <v>8</v>
      </c>
      <c r="F30" s="31"/>
      <c r="G30" s="31">
        <v>3.9</v>
      </c>
      <c r="O30" s="5" t="s">
        <v>19</v>
      </c>
      <c r="P30" s="2">
        <v>1.8390804597701149</v>
      </c>
      <c r="Q30" s="2">
        <v>2.9090909090909092</v>
      </c>
      <c r="R30" s="2">
        <v>4.7481713688610245</v>
      </c>
      <c r="W30" s="16" t="s">
        <v>0</v>
      </c>
      <c r="X30" s="16" t="s">
        <v>12</v>
      </c>
      <c r="Y30" s="16" t="s">
        <v>1</v>
      </c>
      <c r="Z30" s="16" t="s">
        <v>50</v>
      </c>
      <c r="AA30" s="16" t="s">
        <v>8</v>
      </c>
      <c r="AB30" s="19">
        <f>G22</f>
        <v>2.61</v>
      </c>
      <c r="AC30" s="13">
        <f>AB24/Table13153247[[#This Row],[Ex time]]</f>
        <v>0.80459770114942541</v>
      </c>
      <c r="AD30" s="15"/>
      <c r="AE30" s="15"/>
    </row>
    <row r="31" spans="1:41" x14ac:dyDescent="0.3">
      <c r="A31" s="31" t="s">
        <v>0</v>
      </c>
      <c r="B31" s="31" t="s">
        <v>13</v>
      </c>
      <c r="C31" s="31" t="s">
        <v>1</v>
      </c>
      <c r="D31" s="31" t="s">
        <v>49</v>
      </c>
      <c r="E31" s="31" t="s">
        <v>8</v>
      </c>
      <c r="F31" s="31"/>
      <c r="G31" s="31">
        <v>4.5999999999999996</v>
      </c>
      <c r="O31" s="5" t="s">
        <v>26</v>
      </c>
      <c r="P31" s="2">
        <v>5.4672365574151272</v>
      </c>
      <c r="Q31" s="2">
        <v>7.7948051948051953</v>
      </c>
      <c r="R31" s="2">
        <v>13.262041752220323</v>
      </c>
      <c r="W31" s="12" t="s">
        <v>0</v>
      </c>
      <c r="X31" s="12" t="s">
        <v>12</v>
      </c>
      <c r="Y31" s="12" t="s">
        <v>1</v>
      </c>
      <c r="Z31" s="12" t="s">
        <v>47</v>
      </c>
      <c r="AA31" s="12" t="s">
        <v>9</v>
      </c>
      <c r="AB31" s="13">
        <f>G11</f>
        <v>6.76</v>
      </c>
      <c r="AC31" s="13">
        <f>AB9/Table13153247[[#This Row],[Ex time]]</f>
        <v>0.38461538461538464</v>
      </c>
      <c r="AD31" s="15"/>
      <c r="AE31" s="15"/>
    </row>
    <row r="32" spans="1:41" x14ac:dyDescent="0.3">
      <c r="A32" s="31" t="s">
        <v>0</v>
      </c>
      <c r="B32" s="31" t="s">
        <v>13</v>
      </c>
      <c r="C32" s="31" t="s">
        <v>1</v>
      </c>
      <c r="D32" s="31" t="s">
        <v>50</v>
      </c>
      <c r="E32" s="31" t="s">
        <v>8</v>
      </c>
      <c r="F32" s="31"/>
      <c r="G32" s="31">
        <v>4.8</v>
      </c>
      <c r="W32" s="12" t="s">
        <v>0</v>
      </c>
      <c r="X32" s="12" t="s">
        <v>12</v>
      </c>
      <c r="Y32" s="12" t="s">
        <v>1</v>
      </c>
      <c r="Z32" s="12" t="s">
        <v>48</v>
      </c>
      <c r="AA32" s="12" t="s">
        <v>9</v>
      </c>
      <c r="AB32" s="13">
        <f>G15</f>
        <v>5.8010000000000002</v>
      </c>
      <c r="AC32" s="13">
        <f>AB9/Table13153247[[#This Row],[Ex time]]</f>
        <v>0.44819858645061195</v>
      </c>
      <c r="AD32" s="15"/>
      <c r="AE32" s="15"/>
    </row>
    <row r="33" spans="1:31" x14ac:dyDescent="0.3">
      <c r="A33" s="32" t="s">
        <v>0</v>
      </c>
      <c r="B33" s="32" t="s">
        <v>13</v>
      </c>
      <c r="C33" s="32" t="s">
        <v>1</v>
      </c>
      <c r="D33" s="31" t="s">
        <v>47</v>
      </c>
      <c r="E33" s="32" t="s">
        <v>9</v>
      </c>
      <c r="F33" s="31"/>
      <c r="G33" s="31">
        <v>6.8</v>
      </c>
      <c r="W33" s="12" t="s">
        <v>0</v>
      </c>
      <c r="X33" s="12" t="s">
        <v>12</v>
      </c>
      <c r="Y33" s="12" t="s">
        <v>1</v>
      </c>
      <c r="Z33" s="12" t="s">
        <v>49</v>
      </c>
      <c r="AA33" s="12" t="s">
        <v>9</v>
      </c>
      <c r="AB33" s="13">
        <f>G19</f>
        <v>4.6900000000000004</v>
      </c>
      <c r="AC33" s="13">
        <f>AB9/Table13153247[[#This Row],[Ex time]]</f>
        <v>0.55437100213219614</v>
      </c>
      <c r="AD33" s="15"/>
      <c r="AE33" s="15"/>
    </row>
    <row r="34" spans="1:31" x14ac:dyDescent="0.3">
      <c r="A34" s="32" t="s">
        <v>0</v>
      </c>
      <c r="B34" s="32" t="s">
        <v>13</v>
      </c>
      <c r="C34" s="32" t="s">
        <v>1</v>
      </c>
      <c r="D34" s="31" t="s">
        <v>48</v>
      </c>
      <c r="E34" s="32" t="s">
        <v>9</v>
      </c>
      <c r="F34" s="31"/>
      <c r="G34" s="31">
        <v>6.5</v>
      </c>
      <c r="W34" s="16" t="s">
        <v>0</v>
      </c>
      <c r="X34" s="16" t="s">
        <v>12</v>
      </c>
      <c r="Y34" s="16" t="s">
        <v>1</v>
      </c>
      <c r="Z34" s="16" t="s">
        <v>50</v>
      </c>
      <c r="AA34" s="16" t="s">
        <v>9</v>
      </c>
      <c r="AB34" s="17">
        <f>G23</f>
        <v>4.13</v>
      </c>
      <c r="AC34" s="13">
        <f>AB9/Table13153247[[#This Row],[Ex time]]</f>
        <v>0.6295399515738499</v>
      </c>
      <c r="AD34" s="15"/>
      <c r="AE34" s="15"/>
    </row>
    <row r="35" spans="1:31" x14ac:dyDescent="0.3">
      <c r="A35" s="32" t="s">
        <v>0</v>
      </c>
      <c r="B35" s="32" t="s">
        <v>13</v>
      </c>
      <c r="C35" s="32" t="s">
        <v>1</v>
      </c>
      <c r="D35" s="31" t="s">
        <v>49</v>
      </c>
      <c r="E35" s="32" t="s">
        <v>9</v>
      </c>
      <c r="F35" s="31"/>
      <c r="G35" s="31">
        <v>6.1</v>
      </c>
    </row>
    <row r="36" spans="1:31" x14ac:dyDescent="0.3">
      <c r="A36" s="32" t="s">
        <v>0</v>
      </c>
      <c r="B36" s="32" t="s">
        <v>13</v>
      </c>
      <c r="C36" s="32" t="s">
        <v>1</v>
      </c>
      <c r="D36" s="31" t="s">
        <v>50</v>
      </c>
      <c r="E36" s="32" t="s">
        <v>9</v>
      </c>
      <c r="F36" s="31"/>
      <c r="G36" s="31">
        <v>6.2</v>
      </c>
    </row>
    <row r="37" spans="1:31" x14ac:dyDescent="0.3">
      <c r="W37" t="s">
        <v>37</v>
      </c>
      <c r="X37" t="s">
        <v>27</v>
      </c>
    </row>
    <row r="38" spans="1:31" x14ac:dyDescent="0.3">
      <c r="W38" t="s">
        <v>25</v>
      </c>
      <c r="X38" t="s">
        <v>7</v>
      </c>
      <c r="Y38" t="s">
        <v>8</v>
      </c>
      <c r="Z38" t="s">
        <v>9</v>
      </c>
      <c r="AA38" t="s">
        <v>26</v>
      </c>
    </row>
    <row r="39" spans="1:31" x14ac:dyDescent="0.3">
      <c r="W39" s="5" t="s">
        <v>47</v>
      </c>
      <c r="X39" s="2">
        <v>1.0613197919813209</v>
      </c>
      <c r="Y39" s="2">
        <v>0.50280252550525673</v>
      </c>
      <c r="Z39" s="2">
        <v>0.38461538461538464</v>
      </c>
      <c r="AA39" s="2">
        <v>1.9487377021019623</v>
      </c>
    </row>
    <row r="40" spans="1:31" x14ac:dyDescent="0.3">
      <c r="W40" s="5" t="s">
        <v>48</v>
      </c>
      <c r="X40" s="2">
        <v>1.2380952380952381</v>
      </c>
      <c r="Y40" s="2">
        <v>0.6325301204819278</v>
      </c>
      <c r="Z40" s="2">
        <v>0.44819858645061195</v>
      </c>
      <c r="AA40" s="2">
        <v>2.3188239450277779</v>
      </c>
    </row>
    <row r="41" spans="1:31" x14ac:dyDescent="0.3">
      <c r="W41" s="5" t="s">
        <v>49</v>
      </c>
      <c r="X41" s="2">
        <v>1.2871287128712872</v>
      </c>
      <c r="Y41" s="2">
        <v>0.70469798657718119</v>
      </c>
      <c r="Z41" s="2">
        <v>0.55437100213219614</v>
      </c>
      <c r="AA41" s="2">
        <v>2.5461977015806645</v>
      </c>
    </row>
    <row r="42" spans="1:31" x14ac:dyDescent="0.3">
      <c r="W42" s="5" t="s">
        <v>50</v>
      </c>
      <c r="X42" s="2">
        <v>1.3978494623655913</v>
      </c>
      <c r="Y42" s="2">
        <v>0.80459770114942541</v>
      </c>
      <c r="Z42" s="2">
        <v>0.6295399515738499</v>
      </c>
      <c r="AA42" s="2">
        <v>2.8319871150888667</v>
      </c>
    </row>
    <row r="43" spans="1:31" x14ac:dyDescent="0.3">
      <c r="W43" s="5" t="s">
        <v>26</v>
      </c>
      <c r="X43" s="2">
        <v>4.9843932053134372</v>
      </c>
      <c r="Y43" s="2">
        <v>2.6446283337137912</v>
      </c>
      <c r="Z43" s="2">
        <v>2.0167249247720425</v>
      </c>
      <c r="AA43" s="2">
        <v>9.6457464637992718</v>
      </c>
    </row>
  </sheetData>
  <pageMargins left="0.7" right="0.7" top="0.75" bottom="0.75" header="0.3" footer="0.3"/>
  <drawing r:id="rId4"/>
  <tableParts count="8"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4929-F63D-4276-8C98-100F5CA296FA}">
  <dimension ref="A1:AO43"/>
  <sheetViews>
    <sheetView showGridLines="0" topLeftCell="O38" zoomScale="85" zoomScaleNormal="85" workbookViewId="0">
      <selection activeCell="AM49" sqref="AM49"/>
    </sheetView>
  </sheetViews>
  <sheetFormatPr defaultRowHeight="14.4" x14ac:dyDescent="0.3"/>
  <cols>
    <col min="1" max="1" width="12.88671875" customWidth="1"/>
    <col min="2" max="2" width="13.6640625" customWidth="1"/>
    <col min="3" max="3" width="8.33203125" customWidth="1"/>
    <col min="4" max="4" width="8.6640625" customWidth="1"/>
    <col min="5" max="5" width="12.6640625" customWidth="1"/>
    <col min="6" max="6" width="11.109375" customWidth="1"/>
    <col min="8" max="8" width="3" style="26" customWidth="1"/>
    <col min="9" max="9" width="18.5546875" bestFit="1" customWidth="1"/>
    <col min="14" max="14" width="2.88671875" style="26" customWidth="1"/>
    <col min="15" max="15" width="13.44140625" bestFit="1" customWidth="1"/>
    <col min="16" max="16" width="16.44140625" bestFit="1" customWidth="1"/>
    <col min="17" max="17" width="20.33203125" bestFit="1" customWidth="1"/>
    <col min="18" max="18" width="11.44140625" bestFit="1" customWidth="1"/>
    <col min="19" max="19" width="6.33203125" bestFit="1" customWidth="1"/>
    <col min="20" max="20" width="11.44140625" bestFit="1" customWidth="1"/>
    <col min="21" max="21" width="11.6640625" customWidth="1"/>
    <col min="22" max="22" width="4.109375" style="26" customWidth="1"/>
    <col min="23" max="23" width="16.33203125" bestFit="1" customWidth="1"/>
    <col min="24" max="24" width="16.44140625" bestFit="1" customWidth="1"/>
    <col min="25" max="26" width="4.5546875" bestFit="1" customWidth="1"/>
    <col min="27" max="27" width="11.44140625" bestFit="1" customWidth="1"/>
    <col min="28" max="28" width="8.33203125" bestFit="1" customWidth="1"/>
    <col min="29" max="30" width="4.5546875" bestFit="1" customWidth="1"/>
    <col min="31" max="31" width="11.6640625" bestFit="1" customWidth="1"/>
    <col min="32" max="32" width="8.33203125" bestFit="1" customWidth="1"/>
    <col min="33" max="33" width="4.5546875" bestFit="1" customWidth="1"/>
    <col min="34" max="34" width="4.5546875" style="26" bestFit="1" customWidth="1"/>
    <col min="35" max="35" width="13.44140625" bestFit="1" customWidth="1"/>
    <col min="36" max="36" width="16.33203125" bestFit="1" customWidth="1"/>
    <col min="37" max="38" width="4.5546875" bestFit="1" customWidth="1"/>
    <col min="39" max="39" width="11.44140625" bestFit="1" customWidth="1"/>
    <col min="40" max="40" width="4.5546875" bestFit="1" customWidth="1"/>
    <col min="41" max="41" width="7" bestFit="1" customWidth="1"/>
    <col min="42" max="42" width="11.44140625" bestFit="1" customWidth="1"/>
  </cols>
  <sheetData>
    <row r="1" spans="1:41" s="25" customFormat="1" x14ac:dyDescent="0.3">
      <c r="A1" s="24" t="s">
        <v>32</v>
      </c>
      <c r="I1" s="24" t="s">
        <v>43</v>
      </c>
      <c r="O1" s="24" t="s">
        <v>33</v>
      </c>
      <c r="W1" s="24" t="s">
        <v>36</v>
      </c>
      <c r="AI1" s="24" t="s">
        <v>39</v>
      </c>
    </row>
    <row r="2" spans="1:41" x14ac:dyDescent="0.3">
      <c r="A2" s="6" t="s">
        <v>44</v>
      </c>
      <c r="I2" s="6" t="s">
        <v>45</v>
      </c>
      <c r="O2" s="6" t="s">
        <v>45</v>
      </c>
      <c r="T2" s="28" t="s">
        <v>16</v>
      </c>
      <c r="U2" s="28">
        <v>0.2</v>
      </c>
      <c r="W2" s="27" t="s">
        <v>41</v>
      </c>
      <c r="AI2" t="s">
        <v>40</v>
      </c>
    </row>
    <row r="3" spans="1:41" x14ac:dyDescent="0.3">
      <c r="A3" s="6"/>
      <c r="I3" s="6"/>
      <c r="T3" s="28" t="s">
        <v>15</v>
      </c>
      <c r="U3" s="28">
        <v>0.8</v>
      </c>
    </row>
    <row r="4" spans="1:41" x14ac:dyDescent="0.3">
      <c r="A4" s="6"/>
      <c r="I4" s="6"/>
    </row>
    <row r="5" spans="1:41" x14ac:dyDescent="0.3">
      <c r="A5" s="6"/>
      <c r="I5" s="6"/>
      <c r="O5" s="6"/>
    </row>
    <row r="6" spans="1:41" x14ac:dyDescent="0.3">
      <c r="A6" s="6"/>
      <c r="I6" s="6"/>
    </row>
    <row r="8" spans="1:41" x14ac:dyDescent="0.3">
      <c r="A8" t="s">
        <v>6</v>
      </c>
      <c r="B8" t="s">
        <v>11</v>
      </c>
      <c r="C8" t="s">
        <v>2</v>
      </c>
      <c r="D8" t="s">
        <v>3</v>
      </c>
      <c r="E8" t="s">
        <v>4</v>
      </c>
      <c r="F8" t="s">
        <v>5</v>
      </c>
      <c r="G8" t="s">
        <v>51</v>
      </c>
      <c r="I8" t="s">
        <v>23</v>
      </c>
      <c r="J8" t="s">
        <v>17</v>
      </c>
      <c r="K8" t="s">
        <v>18</v>
      </c>
      <c r="L8" t="s">
        <v>20</v>
      </c>
      <c r="M8" t="s">
        <v>19</v>
      </c>
      <c r="O8" t="s">
        <v>23</v>
      </c>
      <c r="P8" t="s">
        <v>17</v>
      </c>
      <c r="Q8" t="s">
        <v>18</v>
      </c>
      <c r="R8" t="s">
        <v>20</v>
      </c>
      <c r="S8" t="s">
        <v>19</v>
      </c>
      <c r="W8" s="8" t="s">
        <v>6</v>
      </c>
      <c r="X8" s="8" t="s">
        <v>11</v>
      </c>
      <c r="Y8" s="8" t="s">
        <v>2</v>
      </c>
      <c r="Z8" s="8" t="s">
        <v>3</v>
      </c>
      <c r="AA8" s="8" t="s">
        <v>4</v>
      </c>
      <c r="AB8" s="8" t="s">
        <v>35</v>
      </c>
      <c r="AI8" s="20" t="s">
        <v>6</v>
      </c>
      <c r="AJ8" s="21" t="s">
        <v>11</v>
      </c>
      <c r="AK8" s="21" t="s">
        <v>2</v>
      </c>
      <c r="AL8" s="21" t="s">
        <v>3</v>
      </c>
      <c r="AM8" s="21" t="s">
        <v>4</v>
      </c>
      <c r="AN8" s="21" t="s">
        <v>35</v>
      </c>
    </row>
    <row r="9" spans="1:41" x14ac:dyDescent="0.3">
      <c r="A9" t="s">
        <v>55</v>
      </c>
      <c r="B9" t="s">
        <v>12</v>
      </c>
      <c r="C9" t="s">
        <v>1</v>
      </c>
      <c r="D9" t="s">
        <v>47</v>
      </c>
      <c r="E9" t="s">
        <v>7</v>
      </c>
      <c r="G9" s="2">
        <v>1.96</v>
      </c>
      <c r="I9" t="s">
        <v>13</v>
      </c>
      <c r="J9" s="1">
        <f>G29</f>
        <v>2.8605900000000002</v>
      </c>
      <c r="K9" s="1">
        <f>G30</f>
        <v>3.2898299999999998</v>
      </c>
      <c r="L9" s="1">
        <f>G31</f>
        <v>3.2822200000000001</v>
      </c>
      <c r="M9" s="1">
        <f>G32</f>
        <v>3.2486100000000002</v>
      </c>
      <c r="O9" t="s">
        <v>22</v>
      </c>
      <c r="P9" s="2">
        <f>1/(U2+U3/1)</f>
        <v>1</v>
      </c>
      <c r="Q9" s="2">
        <f>1/(U2+U3/2)</f>
        <v>1.6666666666666665</v>
      </c>
      <c r="R9" s="2">
        <f>1/(U2+U3/4)</f>
        <v>2.5</v>
      </c>
      <c r="S9" s="2">
        <f>1/(U2+U3/8)</f>
        <v>3.333333333333333</v>
      </c>
      <c r="W9" s="9" t="s">
        <v>0</v>
      </c>
      <c r="X9" s="9" t="s">
        <v>13</v>
      </c>
      <c r="Y9" s="9" t="s">
        <v>1</v>
      </c>
      <c r="Z9" s="9">
        <v>1</v>
      </c>
      <c r="AA9" s="9" t="s">
        <v>7</v>
      </c>
      <c r="AB9" s="15">
        <f t="shared" ref="AB9:AB20" si="0">G25</f>
        <v>1.8032900000000001</v>
      </c>
      <c r="AI9" s="12" t="s">
        <v>0</v>
      </c>
      <c r="AJ9" s="12" t="s">
        <v>13</v>
      </c>
      <c r="AK9" s="12" t="s">
        <v>1</v>
      </c>
      <c r="AL9" s="12">
        <v>1</v>
      </c>
      <c r="AM9" s="12" t="s">
        <v>7</v>
      </c>
      <c r="AN9" s="22">
        <f t="shared" ref="AN9" si="1">G25</f>
        <v>1.8032900000000001</v>
      </c>
    </row>
    <row r="10" spans="1:41" x14ac:dyDescent="0.3">
      <c r="A10" t="s">
        <v>55</v>
      </c>
      <c r="B10" t="s">
        <v>12</v>
      </c>
      <c r="C10" t="s">
        <v>1</v>
      </c>
      <c r="D10" t="s">
        <v>47</v>
      </c>
      <c r="E10" t="s">
        <v>8</v>
      </c>
      <c r="G10" s="2">
        <v>2.99</v>
      </c>
      <c r="I10" t="s">
        <v>38</v>
      </c>
      <c r="J10" s="2">
        <f>Table367106203651[[#This Row],[Time]]</f>
        <v>2.99</v>
      </c>
      <c r="K10" s="2">
        <f>G14</f>
        <v>3.13</v>
      </c>
      <c r="L10" s="2">
        <f>G18</f>
        <v>2.95</v>
      </c>
      <c r="M10" s="2">
        <f>G22</f>
        <v>1.99</v>
      </c>
      <c r="O10" t="s">
        <v>24</v>
      </c>
      <c r="P10" s="2">
        <f>J9/Table7117213752[[#This Row],[core 1]]</f>
        <v>0.95671906354515046</v>
      </c>
      <c r="Q10" s="2">
        <f>K9/Table7117213752[[#This Row],[core 2]]</f>
        <v>1.0510638977635782</v>
      </c>
      <c r="R10" s="2">
        <f>L9/Table7117213752[[#This Row],[core 4]]</f>
        <v>1.1126169491525424</v>
      </c>
      <c r="S10" s="2">
        <f>M9/Table7117213752[[#This Row],[core 8]]</f>
        <v>1.6324673366834173</v>
      </c>
      <c r="W10" s="9" t="s">
        <v>0</v>
      </c>
      <c r="X10" s="9" t="s">
        <v>13</v>
      </c>
      <c r="Y10" s="9" t="s">
        <v>1</v>
      </c>
      <c r="Z10" s="9">
        <v>2</v>
      </c>
      <c r="AA10" s="9" t="s">
        <v>7</v>
      </c>
      <c r="AB10" s="15">
        <f t="shared" si="0"/>
        <v>2.1642100000000002</v>
      </c>
      <c r="AI10" s="12" t="s">
        <v>0</v>
      </c>
      <c r="AJ10" s="12" t="s">
        <v>13</v>
      </c>
      <c r="AK10" s="12" t="s">
        <v>1</v>
      </c>
      <c r="AL10" s="12">
        <v>1</v>
      </c>
      <c r="AM10" s="12" t="s">
        <v>8</v>
      </c>
      <c r="AN10" s="22">
        <f>G29</f>
        <v>2.8605900000000002</v>
      </c>
    </row>
    <row r="11" spans="1:41" x14ac:dyDescent="0.3">
      <c r="A11" t="s">
        <v>55</v>
      </c>
      <c r="B11" t="s">
        <v>12</v>
      </c>
      <c r="C11" t="s">
        <v>1</v>
      </c>
      <c r="D11" t="s">
        <v>47</v>
      </c>
      <c r="E11" t="s">
        <v>9</v>
      </c>
      <c r="G11" s="2">
        <v>5.23</v>
      </c>
      <c r="W11" s="9" t="s">
        <v>0</v>
      </c>
      <c r="X11" s="9" t="s">
        <v>13</v>
      </c>
      <c r="Y11" s="9" t="s">
        <v>1</v>
      </c>
      <c r="Z11" s="9">
        <v>4</v>
      </c>
      <c r="AA11" s="9" t="s">
        <v>7</v>
      </c>
      <c r="AB11" s="15">
        <f t="shared" si="0"/>
        <v>2.0835300000000001</v>
      </c>
      <c r="AI11" s="16" t="s">
        <v>0</v>
      </c>
      <c r="AJ11" s="16" t="s">
        <v>13</v>
      </c>
      <c r="AK11" s="16" t="s">
        <v>1</v>
      </c>
      <c r="AL11" s="16">
        <v>1</v>
      </c>
      <c r="AM11" s="16" t="s">
        <v>9</v>
      </c>
      <c r="AN11" s="23">
        <f>G33</f>
        <v>5.0929599999999997</v>
      </c>
    </row>
    <row r="12" spans="1:41" x14ac:dyDescent="0.3">
      <c r="A12" t="s">
        <v>55</v>
      </c>
      <c r="B12" s="30" t="s">
        <v>12</v>
      </c>
      <c r="C12" s="30" t="s">
        <v>1</v>
      </c>
      <c r="D12" s="30" t="s">
        <v>47</v>
      </c>
      <c r="E12" s="30" t="s">
        <v>10</v>
      </c>
      <c r="F12" s="30"/>
      <c r="G12" s="33"/>
      <c r="J12" s="2"/>
      <c r="K12" s="2"/>
      <c r="L12" s="2"/>
      <c r="M12" s="2"/>
      <c r="W12" s="9" t="s">
        <v>0</v>
      </c>
      <c r="X12" s="9" t="s">
        <v>13</v>
      </c>
      <c r="Y12" s="9" t="s">
        <v>1</v>
      </c>
      <c r="Z12" s="9">
        <v>8</v>
      </c>
      <c r="AA12" s="9" t="s">
        <v>7</v>
      </c>
      <c r="AB12" s="15">
        <f t="shared" si="0"/>
        <v>2.1905600000000001</v>
      </c>
    </row>
    <row r="13" spans="1:41" x14ac:dyDescent="0.3">
      <c r="A13" t="s">
        <v>55</v>
      </c>
      <c r="B13" t="s">
        <v>12</v>
      </c>
      <c r="C13" t="s">
        <v>1</v>
      </c>
      <c r="D13" t="s">
        <v>48</v>
      </c>
      <c r="E13" t="s">
        <v>7</v>
      </c>
      <c r="G13" s="2">
        <v>2.0299999999999998</v>
      </c>
      <c r="O13" s="6" t="s">
        <v>34</v>
      </c>
      <c r="W13" s="9" t="s">
        <v>0</v>
      </c>
      <c r="X13" s="9" t="s">
        <v>13</v>
      </c>
      <c r="Y13" s="9" t="s">
        <v>1</v>
      </c>
      <c r="Z13" s="9">
        <v>1</v>
      </c>
      <c r="AA13" s="9" t="s">
        <v>8</v>
      </c>
      <c r="AB13" s="15">
        <f t="shared" si="0"/>
        <v>2.8605900000000002</v>
      </c>
    </row>
    <row r="14" spans="1:41" x14ac:dyDescent="0.3">
      <c r="A14" t="s">
        <v>55</v>
      </c>
      <c r="B14" t="s">
        <v>12</v>
      </c>
      <c r="C14" t="s">
        <v>1</v>
      </c>
      <c r="D14" t="s">
        <v>48</v>
      </c>
      <c r="E14" t="s">
        <v>8</v>
      </c>
      <c r="G14" s="2">
        <v>3.13</v>
      </c>
      <c r="O14" t="s">
        <v>21</v>
      </c>
      <c r="P14" t="s">
        <v>51</v>
      </c>
      <c r="Q14" t="s">
        <v>52</v>
      </c>
      <c r="R14" t="s">
        <v>53</v>
      </c>
      <c r="W14" s="9" t="s">
        <v>0</v>
      </c>
      <c r="X14" s="9" t="s">
        <v>13</v>
      </c>
      <c r="Y14" s="9" t="s">
        <v>1</v>
      </c>
      <c r="Z14" s="9">
        <v>2</v>
      </c>
      <c r="AA14" s="9" t="s">
        <v>8</v>
      </c>
      <c r="AB14" s="15">
        <f t="shared" si="0"/>
        <v>3.2898299999999998</v>
      </c>
      <c r="AI14" s="11" t="s">
        <v>6</v>
      </c>
      <c r="AJ14" s="11" t="s">
        <v>11</v>
      </c>
      <c r="AK14" s="11" t="s">
        <v>2</v>
      </c>
      <c r="AL14" s="11" t="s">
        <v>3</v>
      </c>
      <c r="AM14" s="11" t="s">
        <v>4</v>
      </c>
      <c r="AN14" s="11" t="s">
        <v>35</v>
      </c>
      <c r="AO14" s="11" t="s">
        <v>42</v>
      </c>
    </row>
    <row r="15" spans="1:41" x14ac:dyDescent="0.3">
      <c r="A15" t="s">
        <v>55</v>
      </c>
      <c r="B15" t="s">
        <v>12</v>
      </c>
      <c r="C15" t="s">
        <v>1</v>
      </c>
      <c r="D15" t="s">
        <v>48</v>
      </c>
      <c r="E15" t="s">
        <v>9</v>
      </c>
      <c r="G15" s="2">
        <v>4.82</v>
      </c>
      <c r="O15" t="s">
        <v>30</v>
      </c>
      <c r="P15" s="2">
        <f>P9</f>
        <v>1</v>
      </c>
      <c r="Q15" t="s">
        <v>17</v>
      </c>
      <c r="R15" t="s">
        <v>8</v>
      </c>
      <c r="W15" s="9" t="s">
        <v>0</v>
      </c>
      <c r="X15" s="9" t="s">
        <v>13</v>
      </c>
      <c r="Y15" s="9" t="s">
        <v>1</v>
      </c>
      <c r="Z15" s="9">
        <v>4</v>
      </c>
      <c r="AA15" s="9" t="s">
        <v>8</v>
      </c>
      <c r="AB15" s="15">
        <f t="shared" si="0"/>
        <v>3.2822200000000001</v>
      </c>
      <c r="AI15" s="12" t="s">
        <v>0</v>
      </c>
      <c r="AJ15" s="12" t="s">
        <v>12</v>
      </c>
      <c r="AK15" s="12" t="s">
        <v>1</v>
      </c>
      <c r="AL15" s="12" t="s">
        <v>48</v>
      </c>
      <c r="AM15" s="12" t="s">
        <v>7</v>
      </c>
      <c r="AN15" s="13">
        <f t="shared" ref="AN15:AN17" si="2">G21</f>
        <v>1.82</v>
      </c>
      <c r="AO15" s="14">
        <f>AN9/Table13216254156[[#This Row],[Ex time]]</f>
        <v>0.99081868131868134</v>
      </c>
    </row>
    <row r="16" spans="1:41" x14ac:dyDescent="0.3">
      <c r="A16" t="s">
        <v>55</v>
      </c>
      <c r="B16" s="30" t="s">
        <v>12</v>
      </c>
      <c r="C16" s="30" t="s">
        <v>1</v>
      </c>
      <c r="D16" s="30" t="s">
        <v>48</v>
      </c>
      <c r="E16" s="30" t="s">
        <v>10</v>
      </c>
      <c r="F16" s="30"/>
      <c r="G16" s="33"/>
      <c r="O16" t="s">
        <v>30</v>
      </c>
      <c r="P16" s="2">
        <f>Q9</f>
        <v>1.6666666666666665</v>
      </c>
      <c r="Q16" t="s">
        <v>18</v>
      </c>
      <c r="R16" t="s">
        <v>8</v>
      </c>
      <c r="W16" s="9" t="s">
        <v>0</v>
      </c>
      <c r="X16" s="9" t="s">
        <v>13</v>
      </c>
      <c r="Y16" s="9" t="s">
        <v>1</v>
      </c>
      <c r="Z16" s="9">
        <v>8</v>
      </c>
      <c r="AA16" s="9" t="s">
        <v>8</v>
      </c>
      <c r="AB16" s="15">
        <f t="shared" si="0"/>
        <v>3.2486100000000002</v>
      </c>
      <c r="AI16" s="12" t="s">
        <v>0</v>
      </c>
      <c r="AJ16" s="12" t="s">
        <v>12</v>
      </c>
      <c r="AK16" s="12" t="s">
        <v>1</v>
      </c>
      <c r="AL16" s="12" t="s">
        <v>49</v>
      </c>
      <c r="AM16" s="12" t="s">
        <v>8</v>
      </c>
      <c r="AN16" s="18">
        <f t="shared" si="2"/>
        <v>1.99</v>
      </c>
      <c r="AO16" s="13">
        <f>AN10/Table13216254156[[#This Row],[Ex time]]</f>
        <v>1.4374824120603016</v>
      </c>
    </row>
    <row r="17" spans="1:41" x14ac:dyDescent="0.3">
      <c r="A17" t="s">
        <v>55</v>
      </c>
      <c r="B17" t="s">
        <v>12</v>
      </c>
      <c r="C17" t="s">
        <v>1</v>
      </c>
      <c r="D17" t="s">
        <v>49</v>
      </c>
      <c r="E17" t="s">
        <v>7</v>
      </c>
      <c r="G17" s="2">
        <v>1.99</v>
      </c>
      <c r="O17" t="s">
        <v>30</v>
      </c>
      <c r="P17" s="2">
        <f>R9</f>
        <v>2.5</v>
      </c>
      <c r="Q17" t="s">
        <v>20</v>
      </c>
      <c r="R17" t="s">
        <v>8</v>
      </c>
      <c r="W17" s="9" t="s">
        <v>0</v>
      </c>
      <c r="X17" s="9" t="s">
        <v>13</v>
      </c>
      <c r="Y17" s="9" t="s">
        <v>1</v>
      </c>
      <c r="Z17" s="9">
        <v>1</v>
      </c>
      <c r="AA17" s="9" t="s">
        <v>9</v>
      </c>
      <c r="AB17" s="15">
        <f t="shared" si="0"/>
        <v>5.0929599999999997</v>
      </c>
      <c r="AI17" s="16" t="s">
        <v>0</v>
      </c>
      <c r="AJ17" s="16" t="s">
        <v>12</v>
      </c>
      <c r="AK17" s="16" t="s">
        <v>1</v>
      </c>
      <c r="AL17" s="16" t="s">
        <v>50</v>
      </c>
      <c r="AM17" s="16" t="s">
        <v>9</v>
      </c>
      <c r="AN17" s="17">
        <f t="shared" si="2"/>
        <v>4.01</v>
      </c>
      <c r="AO17" s="13">
        <f>AN11/Table13216254156[[#This Row],[Ex time]]</f>
        <v>1.2700648379052368</v>
      </c>
    </row>
    <row r="18" spans="1:41" x14ac:dyDescent="0.3">
      <c r="A18" t="s">
        <v>55</v>
      </c>
      <c r="B18" t="s">
        <v>12</v>
      </c>
      <c r="C18" t="s">
        <v>1</v>
      </c>
      <c r="D18" t="s">
        <v>49</v>
      </c>
      <c r="E18" t="s">
        <v>8</v>
      </c>
      <c r="G18" s="2">
        <v>2.95</v>
      </c>
      <c r="O18" t="s">
        <v>30</v>
      </c>
      <c r="P18" s="2">
        <f>S9</f>
        <v>3.333333333333333</v>
      </c>
      <c r="Q18" t="s">
        <v>19</v>
      </c>
      <c r="R18" t="s">
        <v>8</v>
      </c>
      <c r="W18" s="9" t="s">
        <v>0</v>
      </c>
      <c r="X18" s="9" t="s">
        <v>13</v>
      </c>
      <c r="Y18" s="9" t="s">
        <v>1</v>
      </c>
      <c r="Z18" s="9">
        <v>2</v>
      </c>
      <c r="AA18" s="9" t="s">
        <v>9</v>
      </c>
      <c r="AB18" s="15">
        <f t="shared" si="0"/>
        <v>5.28078</v>
      </c>
    </row>
    <row r="19" spans="1:41" x14ac:dyDescent="0.3">
      <c r="A19" t="s">
        <v>55</v>
      </c>
      <c r="B19" t="s">
        <v>12</v>
      </c>
      <c r="C19" t="s">
        <v>1</v>
      </c>
      <c r="D19" t="s">
        <v>49</v>
      </c>
      <c r="E19" t="s">
        <v>9</v>
      </c>
      <c r="G19" s="2">
        <v>4.16</v>
      </c>
      <c r="O19" t="s">
        <v>24</v>
      </c>
      <c r="P19" s="2">
        <f>P10</f>
        <v>0.95671906354515046</v>
      </c>
      <c r="Q19" t="s">
        <v>17</v>
      </c>
      <c r="R19" t="s">
        <v>8</v>
      </c>
      <c r="W19" s="9" t="s">
        <v>0</v>
      </c>
      <c r="X19" s="9" t="s">
        <v>13</v>
      </c>
      <c r="Y19" s="9" t="s">
        <v>1</v>
      </c>
      <c r="Z19" s="9">
        <v>4</v>
      </c>
      <c r="AA19" s="9" t="s">
        <v>9</v>
      </c>
      <c r="AB19" s="15">
        <f t="shared" si="0"/>
        <v>5.11111</v>
      </c>
    </row>
    <row r="20" spans="1:41" x14ac:dyDescent="0.3">
      <c r="A20" t="s">
        <v>55</v>
      </c>
      <c r="B20" s="30" t="s">
        <v>12</v>
      </c>
      <c r="C20" s="30" t="s">
        <v>1</v>
      </c>
      <c r="D20" s="30" t="s">
        <v>49</v>
      </c>
      <c r="E20" s="30" t="s">
        <v>10</v>
      </c>
      <c r="F20" s="30"/>
      <c r="G20" s="33"/>
      <c r="O20" t="s">
        <v>24</v>
      </c>
      <c r="P20" s="2">
        <f>Q10</f>
        <v>1.0510638977635782</v>
      </c>
      <c r="Q20" t="s">
        <v>18</v>
      </c>
      <c r="R20" t="s">
        <v>8</v>
      </c>
      <c r="W20" s="9" t="s">
        <v>0</v>
      </c>
      <c r="X20" s="9" t="s">
        <v>13</v>
      </c>
      <c r="Y20" s="9" t="s">
        <v>1</v>
      </c>
      <c r="Z20" s="9">
        <v>8</v>
      </c>
      <c r="AA20" s="9" t="s">
        <v>9</v>
      </c>
      <c r="AB20" s="15">
        <f t="shared" si="0"/>
        <v>5.3014000000000001</v>
      </c>
      <c r="AI20" t="s">
        <v>25</v>
      </c>
      <c r="AJ20" t="s">
        <v>46</v>
      </c>
    </row>
    <row r="21" spans="1:41" x14ac:dyDescent="0.3">
      <c r="A21" t="s">
        <v>55</v>
      </c>
      <c r="B21" t="s">
        <v>12</v>
      </c>
      <c r="C21" t="s">
        <v>1</v>
      </c>
      <c r="D21" t="s">
        <v>50</v>
      </c>
      <c r="E21" t="s">
        <v>7</v>
      </c>
      <c r="G21" s="2">
        <v>1.82</v>
      </c>
      <c r="O21" t="s">
        <v>24</v>
      </c>
      <c r="P21" s="2">
        <f>R10</f>
        <v>1.1126169491525424</v>
      </c>
      <c r="Q21" t="s">
        <v>20</v>
      </c>
      <c r="R21" t="s">
        <v>8</v>
      </c>
      <c r="AI21" s="5" t="s">
        <v>48</v>
      </c>
      <c r="AJ21" s="2">
        <v>0.63151240934193886</v>
      </c>
    </row>
    <row r="22" spans="1:41" x14ac:dyDescent="0.3">
      <c r="A22" t="s">
        <v>55</v>
      </c>
      <c r="B22" t="s">
        <v>12</v>
      </c>
      <c r="C22" t="s">
        <v>1</v>
      </c>
      <c r="D22" t="s">
        <v>50</v>
      </c>
      <c r="E22" t="s">
        <v>8</v>
      </c>
      <c r="G22" s="2">
        <v>1.99</v>
      </c>
      <c r="L22" s="2"/>
      <c r="M22" s="3"/>
      <c r="O22" t="s">
        <v>24</v>
      </c>
      <c r="P22" s="2">
        <f>S10</f>
        <v>1.6324673366834173</v>
      </c>
      <c r="Q22" t="s">
        <v>19</v>
      </c>
      <c r="R22" t="s">
        <v>8</v>
      </c>
      <c r="W22" s="11" t="s">
        <v>6</v>
      </c>
      <c r="X22" s="11" t="s">
        <v>11</v>
      </c>
      <c r="Y22" s="11" t="s">
        <v>2</v>
      </c>
      <c r="Z22" s="11" t="s">
        <v>3</v>
      </c>
      <c r="AA22" s="11" t="s">
        <v>4</v>
      </c>
      <c r="AB22" s="11" t="s">
        <v>35</v>
      </c>
      <c r="AC22" s="11" t="s">
        <v>21</v>
      </c>
      <c r="AD22" s="8"/>
      <c r="AE22" s="8"/>
      <c r="AI22" s="29" t="s">
        <v>7</v>
      </c>
      <c r="AJ22" s="2">
        <v>0.63151240934193886</v>
      </c>
    </row>
    <row r="23" spans="1:41" x14ac:dyDescent="0.3">
      <c r="A23" t="s">
        <v>55</v>
      </c>
      <c r="B23" t="s">
        <v>12</v>
      </c>
      <c r="C23" t="s">
        <v>1</v>
      </c>
      <c r="D23" t="s">
        <v>50</v>
      </c>
      <c r="E23" t="s">
        <v>9</v>
      </c>
      <c r="G23" s="2">
        <v>4.01</v>
      </c>
      <c r="L23" s="2"/>
      <c r="M23" s="2"/>
      <c r="W23" s="12" t="s">
        <v>0</v>
      </c>
      <c r="X23" s="12" t="s">
        <v>12</v>
      </c>
      <c r="Y23" s="12" t="s">
        <v>1</v>
      </c>
      <c r="Z23" s="12" t="s">
        <v>47</v>
      </c>
      <c r="AA23" s="12" t="s">
        <v>7</v>
      </c>
      <c r="AB23" s="13">
        <f t="shared" ref="AB23" si="3">G9</f>
        <v>1.96</v>
      </c>
      <c r="AC23" s="14">
        <f>AB9/Table1315244055[[#This Row],[Ex time]]</f>
        <v>0.92004591836734695</v>
      </c>
      <c r="AD23" s="15"/>
      <c r="AE23" s="15"/>
      <c r="AI23" s="5" t="s">
        <v>49</v>
      </c>
      <c r="AJ23" s="2">
        <v>0.66278883871371341</v>
      </c>
    </row>
    <row r="24" spans="1:41" x14ac:dyDescent="0.3">
      <c r="A24" t="s">
        <v>55</v>
      </c>
      <c r="B24" s="30" t="s">
        <v>12</v>
      </c>
      <c r="C24" s="30" t="s">
        <v>1</v>
      </c>
      <c r="D24" s="30" t="s">
        <v>50</v>
      </c>
      <c r="E24" s="30" t="s">
        <v>10</v>
      </c>
      <c r="F24" s="30"/>
      <c r="G24" s="33"/>
      <c r="W24" s="12" t="s">
        <v>0</v>
      </c>
      <c r="X24" s="12" t="s">
        <v>12</v>
      </c>
      <c r="Y24" s="12" t="s">
        <v>1</v>
      </c>
      <c r="Z24" s="12" t="s">
        <v>48</v>
      </c>
      <c r="AA24" s="12" t="s">
        <v>7</v>
      </c>
      <c r="AB24" s="13">
        <f>G13</f>
        <v>2.0299999999999998</v>
      </c>
      <c r="AC24" s="14">
        <f>AB9/Table1315244055[[#This Row],[Ex time]]</f>
        <v>0.88832019704433507</v>
      </c>
      <c r="AD24" s="15"/>
      <c r="AE24" s="15"/>
      <c r="AI24" s="29" t="s">
        <v>8</v>
      </c>
      <c r="AJ24" s="2">
        <v>0.66278883871371341</v>
      </c>
    </row>
    <row r="25" spans="1:41" x14ac:dyDescent="0.3">
      <c r="A25" t="s">
        <v>55</v>
      </c>
      <c r="B25" t="s">
        <v>13</v>
      </c>
      <c r="C25" t="s">
        <v>1</v>
      </c>
      <c r="D25" t="s">
        <v>47</v>
      </c>
      <c r="E25" t="s">
        <v>7</v>
      </c>
      <c r="G25" s="2">
        <v>1.8032900000000001</v>
      </c>
      <c r="O25" t="s">
        <v>54</v>
      </c>
      <c r="P25" t="s">
        <v>27</v>
      </c>
      <c r="W25" s="12" t="s">
        <v>0</v>
      </c>
      <c r="X25" s="12" t="s">
        <v>12</v>
      </c>
      <c r="Y25" s="12" t="s">
        <v>1</v>
      </c>
      <c r="Z25" s="12" t="s">
        <v>49</v>
      </c>
      <c r="AA25" s="12" t="s">
        <v>7</v>
      </c>
      <c r="AB25" s="15">
        <f>G17</f>
        <v>1.99</v>
      </c>
      <c r="AC25" s="13">
        <f>AB9/Table1315244055[[#This Row],[Ex time]]</f>
        <v>0.90617587939698496</v>
      </c>
      <c r="AD25" s="15"/>
      <c r="AE25" s="15"/>
      <c r="AI25" s="5" t="s">
        <v>50</v>
      </c>
      <c r="AJ25" s="2">
        <v>0.7204701129165052</v>
      </c>
    </row>
    <row r="26" spans="1:41" x14ac:dyDescent="0.3">
      <c r="A26" t="s">
        <v>55</v>
      </c>
      <c r="B26" t="s">
        <v>13</v>
      </c>
      <c r="C26" t="s">
        <v>1</v>
      </c>
      <c r="D26" t="s">
        <v>48</v>
      </c>
      <c r="E26" t="s">
        <v>7</v>
      </c>
      <c r="G26" s="2">
        <v>2.1642100000000002</v>
      </c>
      <c r="O26" t="s">
        <v>25</v>
      </c>
      <c r="P26" t="s">
        <v>24</v>
      </c>
      <c r="Q26" t="s">
        <v>30</v>
      </c>
      <c r="R26" t="s">
        <v>26</v>
      </c>
      <c r="W26" s="16" t="s">
        <v>0</v>
      </c>
      <c r="X26" s="16" t="s">
        <v>12</v>
      </c>
      <c r="Y26" s="16" t="s">
        <v>1</v>
      </c>
      <c r="Z26" s="16" t="s">
        <v>50</v>
      </c>
      <c r="AA26" s="12" t="s">
        <v>7</v>
      </c>
      <c r="AB26" s="17">
        <f>G21</f>
        <v>1.82</v>
      </c>
      <c r="AC26" s="17">
        <f>AB9/Table1315244055[[#This Row],[Ex time]]</f>
        <v>0.99081868131868134</v>
      </c>
      <c r="AD26" s="15"/>
      <c r="AE26" s="15"/>
      <c r="AI26" s="29" t="s">
        <v>9</v>
      </c>
      <c r="AJ26" s="2">
        <v>0.7204701129165052</v>
      </c>
    </row>
    <row r="27" spans="1:41" x14ac:dyDescent="0.3">
      <c r="A27" t="s">
        <v>55</v>
      </c>
      <c r="B27" t="s">
        <v>13</v>
      </c>
      <c r="C27" t="s">
        <v>1</v>
      </c>
      <c r="D27" t="s">
        <v>49</v>
      </c>
      <c r="E27" t="s">
        <v>7</v>
      </c>
      <c r="G27" s="2">
        <v>2.0835300000000001</v>
      </c>
      <c r="O27" s="5" t="s">
        <v>17</v>
      </c>
      <c r="P27" s="2">
        <v>0.95671906354515046</v>
      </c>
      <c r="Q27" s="2">
        <v>1</v>
      </c>
      <c r="R27" s="2">
        <v>1.9567190635451506</v>
      </c>
      <c r="W27" s="12" t="s">
        <v>0</v>
      </c>
      <c r="X27" s="12" t="s">
        <v>12</v>
      </c>
      <c r="Y27" s="12" t="s">
        <v>1</v>
      </c>
      <c r="Z27" s="12" t="s">
        <v>47</v>
      </c>
      <c r="AA27" s="12" t="s">
        <v>8</v>
      </c>
      <c r="AB27" s="18">
        <f>G10</f>
        <v>2.99</v>
      </c>
      <c r="AC27" s="13">
        <f>AB24/Table1315244055[[#This Row],[Ex time]]</f>
        <v>0.67892976588628751</v>
      </c>
      <c r="AD27" s="15"/>
      <c r="AE27" s="15"/>
      <c r="AI27" s="5" t="s">
        <v>26</v>
      </c>
      <c r="AJ27" s="2">
        <v>2.0147713609721576</v>
      </c>
    </row>
    <row r="28" spans="1:41" x14ac:dyDescent="0.3">
      <c r="A28" t="s">
        <v>55</v>
      </c>
      <c r="B28" t="s">
        <v>13</v>
      </c>
      <c r="C28" t="s">
        <v>1</v>
      </c>
      <c r="D28" t="s">
        <v>50</v>
      </c>
      <c r="E28" t="s">
        <v>7</v>
      </c>
      <c r="G28" s="2">
        <v>2.1905600000000001</v>
      </c>
      <c r="O28" s="5" t="s">
        <v>18</v>
      </c>
      <c r="P28" s="2">
        <v>1.0510638977635782</v>
      </c>
      <c r="Q28" s="2">
        <v>1.6666666666666665</v>
      </c>
      <c r="R28" s="2">
        <v>2.7177305644302447</v>
      </c>
      <c r="W28" s="12" t="s">
        <v>0</v>
      </c>
      <c r="X28" s="12" t="s">
        <v>12</v>
      </c>
      <c r="Y28" s="12" t="s">
        <v>1</v>
      </c>
      <c r="Z28" s="12" t="s">
        <v>48</v>
      </c>
      <c r="AA28" s="12" t="s">
        <v>8</v>
      </c>
      <c r="AB28" s="18">
        <f>G14</f>
        <v>3.13</v>
      </c>
      <c r="AC28" s="13">
        <f>AB24/Table1315244055[[#This Row],[Ex time]]</f>
        <v>0.6485623003194888</v>
      </c>
      <c r="AD28" s="15"/>
      <c r="AE28" s="15"/>
    </row>
    <row r="29" spans="1:41" x14ac:dyDescent="0.3">
      <c r="A29" t="s">
        <v>55</v>
      </c>
      <c r="B29" t="s">
        <v>13</v>
      </c>
      <c r="C29" t="s">
        <v>1</v>
      </c>
      <c r="D29" t="s">
        <v>47</v>
      </c>
      <c r="E29" t="s">
        <v>8</v>
      </c>
      <c r="G29" s="2">
        <v>2.8605900000000002</v>
      </c>
      <c r="O29" s="5" t="s">
        <v>20</v>
      </c>
      <c r="P29" s="2">
        <v>1.1126169491525424</v>
      </c>
      <c r="Q29" s="2">
        <v>2.5</v>
      </c>
      <c r="R29" s="2">
        <v>3.6126169491525424</v>
      </c>
      <c r="W29" s="12" t="s">
        <v>0</v>
      </c>
      <c r="X29" s="12" t="s">
        <v>12</v>
      </c>
      <c r="Y29" s="12" t="s">
        <v>1</v>
      </c>
      <c r="Z29" s="12" t="s">
        <v>49</v>
      </c>
      <c r="AA29" s="12" t="s">
        <v>8</v>
      </c>
      <c r="AB29" s="18">
        <f>G18</f>
        <v>2.95</v>
      </c>
      <c r="AC29" s="13">
        <f>AB24/Table1315244055[[#This Row],[Ex time]]</f>
        <v>0.6881355932203389</v>
      </c>
      <c r="AD29" s="15"/>
      <c r="AE29" s="15"/>
    </row>
    <row r="30" spans="1:41" x14ac:dyDescent="0.3">
      <c r="A30" t="s">
        <v>55</v>
      </c>
      <c r="B30" t="s">
        <v>13</v>
      </c>
      <c r="C30" t="s">
        <v>1</v>
      </c>
      <c r="D30" t="s">
        <v>48</v>
      </c>
      <c r="E30" t="s">
        <v>8</v>
      </c>
      <c r="G30" s="2">
        <v>3.2898299999999998</v>
      </c>
      <c r="O30" s="5" t="s">
        <v>19</v>
      </c>
      <c r="P30" s="2">
        <v>1.6324673366834173</v>
      </c>
      <c r="Q30" s="2">
        <v>3.333333333333333</v>
      </c>
      <c r="R30" s="2">
        <v>4.9658006700167503</v>
      </c>
      <c r="W30" s="16" t="s">
        <v>0</v>
      </c>
      <c r="X30" s="16" t="s">
        <v>12</v>
      </c>
      <c r="Y30" s="16" t="s">
        <v>1</v>
      </c>
      <c r="Z30" s="16" t="s">
        <v>50</v>
      </c>
      <c r="AA30" s="16" t="s">
        <v>8</v>
      </c>
      <c r="AB30" s="19">
        <f>G22</f>
        <v>1.99</v>
      </c>
      <c r="AC30" s="13">
        <f>AB24/Table1315244055[[#This Row],[Ex time]]</f>
        <v>1.0201005025125627</v>
      </c>
      <c r="AD30" s="15"/>
      <c r="AE30" s="15"/>
    </row>
    <row r="31" spans="1:41" x14ac:dyDescent="0.3">
      <c r="A31" t="s">
        <v>55</v>
      </c>
      <c r="B31" t="s">
        <v>13</v>
      </c>
      <c r="C31" t="s">
        <v>1</v>
      </c>
      <c r="D31" t="s">
        <v>49</v>
      </c>
      <c r="E31" t="s">
        <v>8</v>
      </c>
      <c r="G31" s="2">
        <v>3.2822200000000001</v>
      </c>
      <c r="O31" s="5" t="s">
        <v>26</v>
      </c>
      <c r="P31" s="2">
        <v>4.7528672471446889</v>
      </c>
      <c r="Q31" s="2">
        <v>8.5</v>
      </c>
      <c r="R31" s="2">
        <v>13.252867247144689</v>
      </c>
      <c r="W31" s="12" t="s">
        <v>0</v>
      </c>
      <c r="X31" s="12" t="s">
        <v>12</v>
      </c>
      <c r="Y31" s="12" t="s">
        <v>1</v>
      </c>
      <c r="Z31" s="12" t="s">
        <v>47</v>
      </c>
      <c r="AA31" s="12" t="s">
        <v>9</v>
      </c>
      <c r="AB31" s="13">
        <f>G11</f>
        <v>5.23</v>
      </c>
      <c r="AC31" s="13">
        <f>AB9/Table1315244055[[#This Row],[Ex time]]</f>
        <v>0.34479732313575523</v>
      </c>
      <c r="AD31" s="15"/>
      <c r="AE31" s="15"/>
    </row>
    <row r="32" spans="1:41" x14ac:dyDescent="0.3">
      <c r="A32" t="s">
        <v>55</v>
      </c>
      <c r="B32" t="s">
        <v>13</v>
      </c>
      <c r="C32" t="s">
        <v>1</v>
      </c>
      <c r="D32" t="s">
        <v>50</v>
      </c>
      <c r="E32" t="s">
        <v>8</v>
      </c>
      <c r="G32" s="2">
        <v>3.2486100000000002</v>
      </c>
      <c r="W32" s="12" t="s">
        <v>0</v>
      </c>
      <c r="X32" s="12" t="s">
        <v>12</v>
      </c>
      <c r="Y32" s="12" t="s">
        <v>1</v>
      </c>
      <c r="Z32" s="12" t="s">
        <v>48</v>
      </c>
      <c r="AA32" s="12" t="s">
        <v>9</v>
      </c>
      <c r="AB32" s="13">
        <f>G15</f>
        <v>4.82</v>
      </c>
      <c r="AC32" s="13">
        <f>AB9/Table1315244055[[#This Row],[Ex time]]</f>
        <v>0.3741265560165975</v>
      </c>
      <c r="AD32" s="15"/>
      <c r="AE32" s="15"/>
    </row>
    <row r="33" spans="1:31" x14ac:dyDescent="0.3">
      <c r="A33" t="s">
        <v>55</v>
      </c>
      <c r="B33" s="9" t="s">
        <v>13</v>
      </c>
      <c r="C33" s="9" t="s">
        <v>1</v>
      </c>
      <c r="D33" t="s">
        <v>47</v>
      </c>
      <c r="E33" s="9" t="s">
        <v>9</v>
      </c>
      <c r="G33" s="2">
        <v>5.0929599999999997</v>
      </c>
      <c r="W33" s="12" t="s">
        <v>0</v>
      </c>
      <c r="X33" s="12" t="s">
        <v>12</v>
      </c>
      <c r="Y33" s="12" t="s">
        <v>1</v>
      </c>
      <c r="Z33" s="12" t="s">
        <v>49</v>
      </c>
      <c r="AA33" s="12" t="s">
        <v>9</v>
      </c>
      <c r="AB33" s="13">
        <f>G19</f>
        <v>4.16</v>
      </c>
      <c r="AC33" s="13">
        <f>AB9/Table1315244055[[#This Row],[Ex time]]</f>
        <v>0.43348317307692308</v>
      </c>
      <c r="AD33" s="15"/>
      <c r="AE33" s="15"/>
    </row>
    <row r="34" spans="1:31" x14ac:dyDescent="0.3">
      <c r="A34" t="s">
        <v>55</v>
      </c>
      <c r="B34" s="9" t="s">
        <v>13</v>
      </c>
      <c r="C34" s="9" t="s">
        <v>1</v>
      </c>
      <c r="D34" t="s">
        <v>48</v>
      </c>
      <c r="E34" s="9" t="s">
        <v>9</v>
      </c>
      <c r="G34" s="2">
        <v>5.28078</v>
      </c>
      <c r="W34" s="16" t="s">
        <v>0</v>
      </c>
      <c r="X34" s="16" t="s">
        <v>12</v>
      </c>
      <c r="Y34" s="16" t="s">
        <v>1</v>
      </c>
      <c r="Z34" s="16" t="s">
        <v>50</v>
      </c>
      <c r="AA34" s="16" t="s">
        <v>9</v>
      </c>
      <c r="AB34" s="17">
        <f>G23</f>
        <v>4.01</v>
      </c>
      <c r="AC34" s="13">
        <f>AB9/Table1315244055[[#This Row],[Ex time]]</f>
        <v>0.44969825436408983</v>
      </c>
      <c r="AD34" s="15"/>
      <c r="AE34" s="15"/>
    </row>
    <row r="35" spans="1:31" x14ac:dyDescent="0.3">
      <c r="A35" t="s">
        <v>55</v>
      </c>
      <c r="B35" s="9" t="s">
        <v>13</v>
      </c>
      <c r="C35" s="9" t="s">
        <v>1</v>
      </c>
      <c r="D35" t="s">
        <v>49</v>
      </c>
      <c r="E35" s="9" t="s">
        <v>9</v>
      </c>
      <c r="G35" s="2">
        <v>5.11111</v>
      </c>
    </row>
    <row r="36" spans="1:31" x14ac:dyDescent="0.3">
      <c r="A36" t="s">
        <v>55</v>
      </c>
      <c r="B36" s="9" t="s">
        <v>13</v>
      </c>
      <c r="C36" s="9" t="s">
        <v>1</v>
      </c>
      <c r="D36" t="s">
        <v>50</v>
      </c>
      <c r="E36" s="9" t="s">
        <v>9</v>
      </c>
      <c r="G36" s="2">
        <v>5.3014000000000001</v>
      </c>
    </row>
    <row r="37" spans="1:31" x14ac:dyDescent="0.3">
      <c r="W37" t="s">
        <v>37</v>
      </c>
      <c r="X37" t="s">
        <v>27</v>
      </c>
    </row>
    <row r="38" spans="1:31" x14ac:dyDescent="0.3">
      <c r="W38" t="s">
        <v>25</v>
      </c>
      <c r="X38" t="s">
        <v>7</v>
      </c>
      <c r="Y38" t="s">
        <v>8</v>
      </c>
      <c r="Z38" t="s">
        <v>9</v>
      </c>
      <c r="AA38" t="s">
        <v>26</v>
      </c>
    </row>
    <row r="39" spans="1:31" x14ac:dyDescent="0.3">
      <c r="W39" s="5" t="s">
        <v>47</v>
      </c>
      <c r="X39" s="2">
        <v>0.75895724344594517</v>
      </c>
      <c r="Y39" s="2">
        <v>0.66816310072214968</v>
      </c>
      <c r="Z39" s="2">
        <v>0.25800687049222315</v>
      </c>
      <c r="AA39" s="2">
        <v>1.685127214660318</v>
      </c>
    </row>
    <row r="40" spans="1:31" x14ac:dyDescent="0.3">
      <c r="W40" s="5" t="s">
        <v>48</v>
      </c>
      <c r="X40" s="2">
        <v>0.65955765903829056</v>
      </c>
      <c r="Y40" s="2">
        <v>0.6357077421724957</v>
      </c>
      <c r="Z40" s="2">
        <v>0.24066103746528458</v>
      </c>
      <c r="AA40" s="2">
        <v>1.5359264386760709</v>
      </c>
    </row>
    <row r="41" spans="1:31" x14ac:dyDescent="0.3">
      <c r="W41" s="5" t="s">
        <v>49</v>
      </c>
      <c r="X41" s="2">
        <v>0.71213234132625669</v>
      </c>
      <c r="Y41" s="2">
        <v>0.67404874489056321</v>
      </c>
      <c r="Z41" s="2">
        <v>0.25403710345663116</v>
      </c>
      <c r="AA41" s="2">
        <v>1.6402181896734511</v>
      </c>
    </row>
    <row r="42" spans="1:31" x14ac:dyDescent="0.3">
      <c r="W42" s="5" t="s">
        <v>50</v>
      </c>
      <c r="X42" s="2">
        <v>0.63151240934193886</v>
      </c>
      <c r="Y42" s="2">
        <v>0.63347922492869535</v>
      </c>
      <c r="Z42" s="2">
        <v>0.25510048182612954</v>
      </c>
      <c r="AA42" s="2">
        <v>1.5200921160967638</v>
      </c>
    </row>
    <row r="43" spans="1:31" x14ac:dyDescent="0.3">
      <c r="W43" s="5" t="s">
        <v>26</v>
      </c>
      <c r="X43" s="2">
        <v>2.7621596531524313</v>
      </c>
      <c r="Y43" s="2">
        <v>2.6113988127139041</v>
      </c>
      <c r="Z43" s="2">
        <v>1.0078054932402685</v>
      </c>
      <c r="AA43" s="2">
        <v>6.3813639591066043</v>
      </c>
    </row>
  </sheetData>
  <pageMargins left="0.7" right="0.7" top="0.75" bottom="0.75" header="0.3" footer="0.3"/>
  <drawing r:id="rId4"/>
  <tableParts count="8"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Fat-Intera</vt:lpstr>
      <vt:lpstr>Fat-Intra 01</vt:lpstr>
      <vt:lpstr>Light-Intra</vt:lpstr>
      <vt:lpstr>Fat-Intra 01 V01</vt:lpstr>
      <vt:lpstr>Light-Intra V01</vt:lpstr>
      <vt:lpstr>Fat-Intra 01 V02</vt:lpstr>
      <vt:lpstr>Light-Intra V02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Sepideh Hayati</dc:creator>
  <cp:lastModifiedBy>Sepideh Hayati</cp:lastModifiedBy>
  <dcterms:created xsi:type="dcterms:W3CDTF">2015-06-05T18:17:20Z</dcterms:created>
  <dcterms:modified xsi:type="dcterms:W3CDTF">2025-03-31T15:08:31Z</dcterms:modified>
</cp:coreProperties>
</file>